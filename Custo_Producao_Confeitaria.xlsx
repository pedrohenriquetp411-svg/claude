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usto Fixo" sheetId="2" state="visible" r:id="rId4"/>
    <sheet name="Insumos" sheetId="3" state="visible" r:id="rId5"/>
    <sheet name="Embalagens" sheetId="4" state="visible" r:id="rId6"/>
    <sheet name="Ficha Técnic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Quantidade da embalagem comprada, na unidade da coluna D.</t>
        </r>
      </text>
    </comment>
  </commentList>
</comments>
</file>

<file path=xl/sharedStrings.xml><?xml version="1.0" encoding="utf-8"?>
<sst xmlns="http://schemas.openxmlformats.org/spreadsheetml/2006/main" count="257" uniqueCount="140">
  <si>
    <t xml:space="preserve">Custo de produção: resumo</t>
  </si>
  <si>
    <t xml:space="preserve">Valores em R$. Atualize as abas azuis; esta página recalcula sozinha.</t>
  </si>
  <si>
    <t xml:space="preserve">Custo fixo mensal</t>
  </si>
  <si>
    <t xml:space="preserve">Unidades produzidas por mês</t>
  </si>
  <si>
    <t xml:space="preserve">Estimativa: troque pelo volume real do mês</t>
  </si>
  <si>
    <t xml:space="preserve">Custo fixo por unidade (rateio)</t>
  </si>
  <si>
    <t xml:space="preserve">Somar ao custo do produto na aba Ficha Técnica</t>
  </si>
  <si>
    <t xml:space="preserve">Pendências (custos ainda não incluídos)</t>
  </si>
  <si>
    <t xml:space="preserve">• Frete de compras pela internet</t>
  </si>
  <si>
    <t xml:space="preserve">• Produtos de limpeza e higienização</t>
  </si>
  <si>
    <t xml:space="preserve">• Despesas com entregas e transporte</t>
  </si>
  <si>
    <t xml:space="preserve">• Manutenção e reposição de materiais</t>
  </si>
  <si>
    <t xml:space="preserve">• Pró-labore ou retiradas pessoais</t>
  </si>
  <si>
    <t xml:space="preserve">• Temperos diversos: quantidade não informada</t>
  </si>
  <si>
    <t xml:space="preserve">• Papel-manteiga, filme plástico e papel-alumínio: tamanho do rolo não informado</t>
  </si>
  <si>
    <t xml:space="preserve">Observações</t>
  </si>
  <si>
    <t xml:space="preserve">• 'Insumos de produção' (R$ 122,94/semana) pode repetir compras da lista de insumos; confira antes de somar.</t>
  </si>
  <si>
    <t xml:space="preserve">• Farinha de trigo e cream cheese aparecem uma vez só, com o mesmo preço usado nas duas seções originais.</t>
  </si>
  <si>
    <t xml:space="preserve">• Preços sem frete. Atualize as abas Insumos e Embalagens quando o preço mudar.</t>
  </si>
  <si>
    <t xml:space="preserve">Valores em R$. Células azuis são entradas; preto são fórmulas.</t>
  </si>
  <si>
    <t xml:space="preserve">Despesa</t>
  </si>
  <si>
    <t xml:space="preserve">Valor mensal (R$)</t>
  </si>
  <si>
    <t xml:space="preserve">Observação</t>
  </si>
  <si>
    <t xml:space="preserve">Água</t>
  </si>
  <si>
    <t xml:space="preserve">Informado</t>
  </si>
  <si>
    <t xml:space="preserve">Energia elétrica</t>
  </si>
  <si>
    <t xml:space="preserve">Gás de cozinha</t>
  </si>
  <si>
    <t xml:space="preserve">DAS</t>
  </si>
  <si>
    <t xml:space="preserve">Taxas de máquina de cartão</t>
  </si>
  <si>
    <t xml:space="preserve">Média informada</t>
  </si>
  <si>
    <t xml:space="preserve">Insumos de produção (por semana)</t>
  </si>
  <si>
    <t xml:space="preserve">Informado por semana; convertido para mês abaixo</t>
  </si>
  <si>
    <t xml:space="preserve">Semanas por ano</t>
  </si>
  <si>
    <t xml:space="preserve">Constante de conversão</t>
  </si>
  <si>
    <t xml:space="preserve">Insumos de produção (por mês)</t>
  </si>
  <si>
    <t xml:space="preserve">Semanal × 52 ÷ 12</t>
  </si>
  <si>
    <t xml:space="preserve">TOTAL CUSTO FIXO MENSAL</t>
  </si>
  <si>
    <t xml:space="preserve">Não inclui itens 'a levantar' (ver Resumo)</t>
  </si>
  <si>
    <t xml:space="preserve">Insumos: custo unitário</t>
  </si>
  <si>
    <t xml:space="preserve">Custo por unidade = Preço ÷ Quantidade da embalagem. Unidade: g, ml ou un. Deixe a quantidade vazia quando não souber.</t>
  </si>
  <si>
    <t xml:space="preserve">Categoria</t>
  </si>
  <si>
    <t xml:space="preserve">Insumo</t>
  </si>
  <si>
    <t xml:space="preserve">Qtd na embalagem</t>
  </si>
  <si>
    <t xml:space="preserve">Unidade</t>
  </si>
  <si>
    <t xml:space="preserve">Preço (R$)</t>
  </si>
  <si>
    <t xml:space="preserve">Custo por unidade (R$)</t>
  </si>
  <si>
    <t xml:space="preserve">Custo por 100 g/ml (R$)</t>
  </si>
  <si>
    <t xml:space="preserve">Doces e bolos</t>
  </si>
  <si>
    <t xml:space="preserve">Leite condensado</t>
  </si>
  <si>
    <t xml:space="preserve">g</t>
  </si>
  <si>
    <t xml:space="preserve">Creme de leite</t>
  </si>
  <si>
    <t xml:space="preserve">Leite em pó Ninho</t>
  </si>
  <si>
    <t xml:space="preserve">Cream cheese</t>
  </si>
  <si>
    <t xml:space="preserve">Doce de leite</t>
  </si>
  <si>
    <t xml:space="preserve">Leite integral</t>
  </si>
  <si>
    <t xml:space="preserve">ml</t>
  </si>
  <si>
    <t xml:space="preserve">Leite de coco</t>
  </si>
  <si>
    <t xml:space="preserve">Chantilly</t>
  </si>
  <si>
    <t xml:space="preserve">Manteiga sem sal</t>
  </si>
  <si>
    <t xml:space="preserve">Margarina</t>
  </si>
  <si>
    <t xml:space="preserve">Açúcar refinado</t>
  </si>
  <si>
    <t xml:space="preserve">Açúcar cristal</t>
  </si>
  <si>
    <t xml:space="preserve">Açúcar de confeiteiro</t>
  </si>
  <si>
    <t xml:space="preserve">Farinha de trigo</t>
  </si>
  <si>
    <t xml:space="preserve">Amido de milho</t>
  </si>
  <si>
    <t xml:space="preserve">Fermento químico</t>
  </si>
  <si>
    <t xml:space="preserve">Bicarbonato de sódio</t>
  </si>
  <si>
    <t xml:space="preserve">Ovos</t>
  </si>
  <si>
    <t xml:space="preserve">un</t>
  </si>
  <si>
    <t xml:space="preserve">Óleo de soja</t>
  </si>
  <si>
    <t xml:space="preserve">Essência de baunilha</t>
  </si>
  <si>
    <t xml:space="preserve">Frutas e recheios</t>
  </si>
  <si>
    <t xml:space="preserve">Frutas vermelhas congeladas</t>
  </si>
  <si>
    <t xml:space="preserve">Polpa de maracujá</t>
  </si>
  <si>
    <t xml:space="preserve">Morango fresco</t>
  </si>
  <si>
    <t xml:space="preserve">Limão</t>
  </si>
  <si>
    <t xml:space="preserve">Maracujá fresco</t>
  </si>
  <si>
    <t xml:space="preserve">Abacaxi</t>
  </si>
  <si>
    <t xml:space="preserve">Coco ralado seco</t>
  </si>
  <si>
    <t xml:space="preserve">Coco fresco ralado</t>
  </si>
  <si>
    <t xml:space="preserve">Ameixa seca</t>
  </si>
  <si>
    <t xml:space="preserve">Cereja em calda</t>
  </si>
  <si>
    <t xml:space="preserve">Chocolates</t>
  </si>
  <si>
    <t xml:space="preserve">Cacau em pó 50%</t>
  </si>
  <si>
    <t xml:space="preserve">Cacau em pó 100%</t>
  </si>
  <si>
    <t xml:space="preserve">Chocolate ao leite</t>
  </si>
  <si>
    <t xml:space="preserve">Chocolate meio amargo</t>
  </si>
  <si>
    <t xml:space="preserve">Chocolate branco</t>
  </si>
  <si>
    <t xml:space="preserve">Chocolate fracionado</t>
  </si>
  <si>
    <t xml:space="preserve">Chocolate granulado</t>
  </si>
  <si>
    <t xml:space="preserve">Confeitos para decoração</t>
  </si>
  <si>
    <t xml:space="preserve">Amendoim triturado</t>
  </si>
  <si>
    <t xml:space="preserve">Pasta de amendoim</t>
  </si>
  <si>
    <t xml:space="preserve">Castanha de caju</t>
  </si>
  <si>
    <t xml:space="preserve">Nozes</t>
  </si>
  <si>
    <t xml:space="preserve">Salgados</t>
  </si>
  <si>
    <t xml:space="preserve">Frango</t>
  </si>
  <si>
    <t xml:space="preserve">Costela bovina</t>
  </si>
  <si>
    <t xml:space="preserve">Batata inglesa</t>
  </si>
  <si>
    <t xml:space="preserve">Farinha panko</t>
  </si>
  <si>
    <t xml:space="preserve">Ovos para empanamento</t>
  </si>
  <si>
    <t xml:space="preserve">Requeijão cremoso</t>
  </si>
  <si>
    <t xml:space="preserve">Alho</t>
  </si>
  <si>
    <t xml:space="preserve">Cebola</t>
  </si>
  <si>
    <t xml:space="preserve">Sal</t>
  </si>
  <si>
    <t xml:space="preserve">Óleo para fritura</t>
  </si>
  <si>
    <t xml:space="preserve">Ketchup</t>
  </si>
  <si>
    <t xml:space="preserve">Maionese</t>
  </si>
  <si>
    <t xml:space="preserve">Temperos diversos</t>
  </si>
  <si>
    <t xml:space="preserve">'Temperos diversos' não tem quantidade informada; preencha a coluna C para calcular o custo.</t>
  </si>
  <si>
    <t xml:space="preserve">Embalagens: custo unitário</t>
  </si>
  <si>
    <t xml:space="preserve">Custo por unidade = Preço ÷ Quantidade no pacote. Itens com quantidade vazia ainda precisam de tamanho informado.</t>
  </si>
  <si>
    <t xml:space="preserve">Item</t>
  </si>
  <si>
    <t xml:space="preserve">Qtd no pacote</t>
  </si>
  <si>
    <t xml:space="preserve">Forminha de acetato</t>
  </si>
  <si>
    <t xml:space="preserve">Caixa para 100 doces</t>
  </si>
  <si>
    <t xml:space="preserve">Sacola para entrega</t>
  </si>
  <si>
    <t xml:space="preserve">Pote para sobremesa</t>
  </si>
  <si>
    <t xml:space="preserve">Etiqueta personalizada com logomarca</t>
  </si>
  <si>
    <t xml:space="preserve">Papel para embalar picolé</t>
  </si>
  <si>
    <t xml:space="preserve">Saquinho individual para picolé</t>
  </si>
  <si>
    <t xml:space="preserve">Adesivo personalizado para picolé</t>
  </si>
  <si>
    <t xml:space="preserve">Placa de MDF para bolo</t>
  </si>
  <si>
    <t xml:space="preserve">Caixa para bolo</t>
  </si>
  <si>
    <t xml:space="preserve">Sacola para transporte</t>
  </si>
  <si>
    <t xml:space="preserve">Adesivo personalizado</t>
  </si>
  <si>
    <t xml:space="preserve">Papel-manteiga (rolo)</t>
  </si>
  <si>
    <t xml:space="preserve">Filme plástico (rolo)</t>
  </si>
  <si>
    <t xml:space="preserve">Papel-alumínio (rolo)</t>
  </si>
  <si>
    <t xml:space="preserve">Papel-manteiga, filme e papel-alumínio: informe o tamanho do rolo na coluna B.</t>
  </si>
  <si>
    <t xml:space="preserve">Ficha técnica por produto</t>
  </si>
  <si>
    <t xml:space="preserve">Digite o nome do insumo ou embalagem exatamente como nas abas Insumos e Embalagens. Quantidade na unidade do item (g, ml ou un).</t>
  </si>
  <si>
    <t xml:space="preserve">Linhas de exemplo em azul podem ser apagadas e substituídas pelos seus produtos.</t>
  </si>
  <si>
    <t xml:space="preserve">Produto</t>
  </si>
  <si>
    <t xml:space="preserve">Insumo ou embalagem</t>
  </si>
  <si>
    <t xml:space="preserve">Quantidade usada</t>
  </si>
  <si>
    <t xml:space="preserve">Custo unitário (R$)</t>
  </si>
  <si>
    <t xml:space="preserve">Custo do item (R$)</t>
  </si>
  <si>
    <t xml:space="preserve">Custo total do produto (R$)</t>
  </si>
  <si>
    <t xml:space="preserve">Brigadeiro (exemplo)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</si>
</sst>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&quot;R$ &quot;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'Custo Fixo'!B13</f>
        <v>1407.1</v>
      </c>
    </row>
    <row r="5" customFormat="false" ht="15" hidden="false" customHeight="false" outlineLevel="0" collapsed="false">
      <c r="A5" s="3" t="s">
        <v>3</v>
      </c>
      <c r="B5" s="5" t="n">
        <v>100</v>
      </c>
      <c r="C5" s="3" t="s">
        <v>4</v>
      </c>
    </row>
    <row r="6" customFormat="false" ht="15" hidden="false" customHeight="false" outlineLevel="0" collapsed="false">
      <c r="A6" s="3" t="s">
        <v>5</v>
      </c>
      <c r="B6" s="6" t="n">
        <f aca="false">IF(B5&gt;0,B4/B5,0)</f>
        <v>14.071</v>
      </c>
      <c r="C6" s="3" t="s">
        <v>6</v>
      </c>
    </row>
    <row r="8" customFormat="false" ht="15" hidden="false" customHeight="false" outlineLevel="0" collapsed="false">
      <c r="A8" s="7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3" t="s">
        <v>14</v>
      </c>
    </row>
    <row r="17" customFormat="false" ht="15" hidden="false" customHeight="false" outlineLevel="0" collapsed="false">
      <c r="A17" s="7" t="s">
        <v>15</v>
      </c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2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8" t="s">
        <v>20</v>
      </c>
      <c r="B4" s="8" t="s">
        <v>21</v>
      </c>
      <c r="C4" s="8" t="s">
        <v>22</v>
      </c>
    </row>
    <row r="5" customFormat="false" ht="15" hidden="false" customHeight="false" outlineLevel="0" collapsed="false">
      <c r="A5" s="9" t="s">
        <v>23</v>
      </c>
      <c r="B5" s="10" t="n">
        <v>77</v>
      </c>
      <c r="C5" s="9" t="s">
        <v>24</v>
      </c>
    </row>
    <row r="6" customFormat="false" ht="15" hidden="false" customHeight="false" outlineLevel="0" collapsed="false">
      <c r="A6" s="9" t="s">
        <v>25</v>
      </c>
      <c r="B6" s="10" t="n">
        <v>362.56</v>
      </c>
      <c r="C6" s="9" t="s">
        <v>24</v>
      </c>
    </row>
    <row r="7" customFormat="false" ht="15" hidden="false" customHeight="false" outlineLevel="0" collapsed="false">
      <c r="A7" s="9" t="s">
        <v>26</v>
      </c>
      <c r="B7" s="10" t="n">
        <v>110</v>
      </c>
      <c r="C7" s="9" t="s">
        <v>24</v>
      </c>
    </row>
    <row r="8" customFormat="false" ht="15" hidden="false" customHeight="false" outlineLevel="0" collapsed="false">
      <c r="A8" s="9" t="s">
        <v>27</v>
      </c>
      <c r="B8" s="10" t="n">
        <v>86</v>
      </c>
      <c r="C8" s="9" t="s">
        <v>24</v>
      </c>
    </row>
    <row r="9" customFormat="false" ht="15" hidden="false" customHeight="false" outlineLevel="0" collapsed="false">
      <c r="A9" s="9" t="s">
        <v>28</v>
      </c>
      <c r="B9" s="10" t="n">
        <v>238.8</v>
      </c>
      <c r="C9" s="9" t="s">
        <v>29</v>
      </c>
    </row>
    <row r="10" customFormat="false" ht="15" hidden="false" customHeight="false" outlineLevel="0" collapsed="false">
      <c r="A10" s="9" t="s">
        <v>30</v>
      </c>
      <c r="B10" s="10" t="n">
        <v>122.94</v>
      </c>
      <c r="C10" s="9" t="s">
        <v>31</v>
      </c>
    </row>
    <row r="11" customFormat="false" ht="15" hidden="false" customHeight="false" outlineLevel="0" collapsed="false">
      <c r="A11" s="9" t="s">
        <v>32</v>
      </c>
      <c r="B11" s="11" t="n">
        <v>52</v>
      </c>
      <c r="C11" s="9" t="s">
        <v>33</v>
      </c>
    </row>
    <row r="12" customFormat="false" ht="15" hidden="false" customHeight="false" outlineLevel="0" collapsed="false">
      <c r="A12" s="9" t="s">
        <v>34</v>
      </c>
      <c r="B12" s="12" t="n">
        <f aca="false">B10*B11/12</f>
        <v>532.74</v>
      </c>
      <c r="C12" s="9" t="s">
        <v>35</v>
      </c>
    </row>
    <row r="13" customFormat="false" ht="15" hidden="false" customHeight="false" outlineLevel="0" collapsed="false">
      <c r="A13" s="13" t="s">
        <v>36</v>
      </c>
      <c r="B13" s="14" t="n">
        <f aca="false">SUM(B5:B9)+B12</f>
        <v>1407.1</v>
      </c>
      <c r="C13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2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23.85" hidden="false" customHeight="fals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</row>
    <row r="5" customFormat="false" ht="15" hidden="false" customHeight="false" outlineLevel="0" collapsed="false">
      <c r="A5" s="9" t="s">
        <v>47</v>
      </c>
      <c r="B5" s="9" t="s">
        <v>48</v>
      </c>
      <c r="C5" s="11" t="n">
        <v>395</v>
      </c>
      <c r="D5" s="11" t="s">
        <v>49</v>
      </c>
      <c r="E5" s="10" t="n">
        <v>7.79</v>
      </c>
      <c r="F5" s="15" t="n">
        <f aca="false">IF(OR(C5="",E5=""),"",E5/C5)</f>
        <v>0.0197215189873418</v>
      </c>
      <c r="G5" s="12" t="n">
        <f aca="false">IF(F5="","",IF(OR(D5="g",D5="ml"),F5*100,""))</f>
        <v>1.97215189873418</v>
      </c>
    </row>
    <row r="6" customFormat="false" ht="15" hidden="false" customHeight="false" outlineLevel="0" collapsed="false">
      <c r="A6" s="9" t="s">
        <v>47</v>
      </c>
      <c r="B6" s="9" t="s">
        <v>50</v>
      </c>
      <c r="C6" s="11" t="n">
        <v>200</v>
      </c>
      <c r="D6" s="11" t="s">
        <v>49</v>
      </c>
      <c r="E6" s="10" t="n">
        <v>3.85</v>
      </c>
      <c r="F6" s="15" t="n">
        <f aca="false">IF(OR(C6="",E6=""),"",E6/C6)</f>
        <v>0.01925</v>
      </c>
      <c r="G6" s="12" t="n">
        <f aca="false">IF(F6="","",IF(OR(D6="g",D6="ml"),F6*100,""))</f>
        <v>1.925</v>
      </c>
    </row>
    <row r="7" customFormat="false" ht="15" hidden="false" customHeight="false" outlineLevel="0" collapsed="false">
      <c r="A7" s="9" t="s">
        <v>47</v>
      </c>
      <c r="B7" s="9" t="s">
        <v>51</v>
      </c>
      <c r="C7" s="11" t="n">
        <v>400</v>
      </c>
      <c r="D7" s="11" t="s">
        <v>49</v>
      </c>
      <c r="E7" s="10" t="n">
        <v>18.94</v>
      </c>
      <c r="F7" s="15" t="n">
        <f aca="false">IF(OR(C7="",E7=""),"",E7/C7)</f>
        <v>0.04735</v>
      </c>
      <c r="G7" s="12" t="n">
        <f aca="false">IF(F7="","",IF(OR(D7="g",D7="ml"),F7*100,""))</f>
        <v>4.735</v>
      </c>
    </row>
    <row r="8" customFormat="false" ht="15" hidden="false" customHeight="false" outlineLevel="0" collapsed="false">
      <c r="A8" s="9" t="s">
        <v>47</v>
      </c>
      <c r="B8" s="9" t="s">
        <v>52</v>
      </c>
      <c r="C8" s="11" t="n">
        <v>300</v>
      </c>
      <c r="D8" s="11" t="s">
        <v>49</v>
      </c>
      <c r="E8" s="10" t="n">
        <v>15</v>
      </c>
      <c r="F8" s="15" t="n">
        <f aca="false">IF(OR(C8="",E8=""),"",E8/C8)</f>
        <v>0.05</v>
      </c>
      <c r="G8" s="12" t="n">
        <f aca="false">IF(F8="","",IF(OR(D8="g",D8="ml"),F8*100,""))</f>
        <v>5</v>
      </c>
    </row>
    <row r="9" customFormat="false" ht="15" hidden="false" customHeight="false" outlineLevel="0" collapsed="false">
      <c r="A9" s="9" t="s">
        <v>47</v>
      </c>
      <c r="B9" s="9" t="s">
        <v>53</v>
      </c>
      <c r="C9" s="11" t="n">
        <v>400</v>
      </c>
      <c r="D9" s="11" t="s">
        <v>49</v>
      </c>
      <c r="E9" s="10" t="n">
        <v>13</v>
      </c>
      <c r="F9" s="15" t="n">
        <f aca="false">IF(OR(C9="",E9=""),"",E9/C9)</f>
        <v>0.0325</v>
      </c>
      <c r="G9" s="12" t="n">
        <f aca="false">IF(F9="","",IF(OR(D9="g",D9="ml"),F9*100,""))</f>
        <v>3.25</v>
      </c>
    </row>
    <row r="10" customFormat="false" ht="15" hidden="false" customHeight="false" outlineLevel="0" collapsed="false">
      <c r="A10" s="9" t="s">
        <v>47</v>
      </c>
      <c r="B10" s="9" t="s">
        <v>54</v>
      </c>
      <c r="C10" s="11" t="n">
        <v>1000</v>
      </c>
      <c r="D10" s="11" t="s">
        <v>55</v>
      </c>
      <c r="E10" s="10" t="n">
        <v>6.79</v>
      </c>
      <c r="F10" s="15" t="n">
        <f aca="false">IF(OR(C10="",E10=""),"",E10/C10)</f>
        <v>0.00679</v>
      </c>
      <c r="G10" s="12" t="n">
        <f aca="false">IF(F10="","",IF(OR(D10="g",D10="ml"),F10*100,""))</f>
        <v>0.679</v>
      </c>
    </row>
    <row r="11" customFormat="false" ht="15" hidden="false" customHeight="false" outlineLevel="0" collapsed="false">
      <c r="A11" s="9" t="s">
        <v>47</v>
      </c>
      <c r="B11" s="9" t="s">
        <v>56</v>
      </c>
      <c r="C11" s="11" t="n">
        <v>200</v>
      </c>
      <c r="D11" s="11" t="s">
        <v>55</v>
      </c>
      <c r="E11" s="10" t="n">
        <v>5</v>
      </c>
      <c r="F11" s="15" t="n">
        <f aca="false">IF(OR(C11="",E11=""),"",E11/C11)</f>
        <v>0.025</v>
      </c>
      <c r="G11" s="12" t="n">
        <f aca="false">IF(F11="","",IF(OR(D11="g",D11="ml"),F11*100,""))</f>
        <v>2.5</v>
      </c>
    </row>
    <row r="12" customFormat="false" ht="15" hidden="false" customHeight="false" outlineLevel="0" collapsed="false">
      <c r="A12" s="9" t="s">
        <v>47</v>
      </c>
      <c r="B12" s="9" t="s">
        <v>57</v>
      </c>
      <c r="C12" s="11" t="n">
        <v>1000</v>
      </c>
      <c r="D12" s="11" t="s">
        <v>55</v>
      </c>
      <c r="E12" s="10" t="n">
        <v>24</v>
      </c>
      <c r="F12" s="15" t="n">
        <f aca="false">IF(OR(C12="",E12=""),"",E12/C12)</f>
        <v>0.024</v>
      </c>
      <c r="G12" s="12" t="n">
        <f aca="false">IF(F12="","",IF(OR(D12="g",D12="ml"),F12*100,""))</f>
        <v>2.4</v>
      </c>
    </row>
    <row r="13" customFormat="false" ht="15" hidden="false" customHeight="false" outlineLevel="0" collapsed="false">
      <c r="A13" s="9" t="s">
        <v>47</v>
      </c>
      <c r="B13" s="9" t="s">
        <v>58</v>
      </c>
      <c r="C13" s="11" t="n">
        <v>200</v>
      </c>
      <c r="D13" s="11" t="s">
        <v>49</v>
      </c>
      <c r="E13" s="10" t="n">
        <v>13.9</v>
      </c>
      <c r="F13" s="15" t="n">
        <f aca="false">IF(OR(C13="",E13=""),"",E13/C13)</f>
        <v>0.0695</v>
      </c>
      <c r="G13" s="12" t="n">
        <f aca="false">IF(F13="","",IF(OR(D13="g",D13="ml"),F13*100,""))</f>
        <v>6.95</v>
      </c>
    </row>
    <row r="14" customFormat="false" ht="15" hidden="false" customHeight="false" outlineLevel="0" collapsed="false">
      <c r="A14" s="9" t="s">
        <v>47</v>
      </c>
      <c r="B14" s="9" t="s">
        <v>59</v>
      </c>
      <c r="C14" s="11" t="n">
        <v>500</v>
      </c>
      <c r="D14" s="11" t="s">
        <v>49</v>
      </c>
      <c r="E14" s="10" t="n">
        <v>9</v>
      </c>
      <c r="F14" s="15" t="n">
        <f aca="false">IF(OR(C14="",E14=""),"",E14/C14)</f>
        <v>0.018</v>
      </c>
      <c r="G14" s="12" t="n">
        <f aca="false">IF(F14="","",IF(OR(D14="g",D14="ml"),F14*100,""))</f>
        <v>1.8</v>
      </c>
    </row>
    <row r="15" customFormat="false" ht="15" hidden="false" customHeight="false" outlineLevel="0" collapsed="false">
      <c r="A15" s="9" t="s">
        <v>47</v>
      </c>
      <c r="B15" s="9" t="s">
        <v>60</v>
      </c>
      <c r="C15" s="11" t="n">
        <v>1000</v>
      </c>
      <c r="D15" s="11" t="s">
        <v>49</v>
      </c>
      <c r="E15" s="10" t="n">
        <v>4.34</v>
      </c>
      <c r="F15" s="15" t="n">
        <f aca="false">IF(OR(C15="",E15=""),"",E15/C15)</f>
        <v>0.00434</v>
      </c>
      <c r="G15" s="12" t="n">
        <f aca="false">IF(F15="","",IF(OR(D15="g",D15="ml"),F15*100,""))</f>
        <v>0.434</v>
      </c>
    </row>
    <row r="16" customFormat="false" ht="15" hidden="false" customHeight="false" outlineLevel="0" collapsed="false">
      <c r="A16" s="9" t="s">
        <v>47</v>
      </c>
      <c r="B16" s="9" t="s">
        <v>61</v>
      </c>
      <c r="C16" s="11" t="n">
        <v>1000</v>
      </c>
      <c r="D16" s="11" t="s">
        <v>49</v>
      </c>
      <c r="E16" s="10" t="n">
        <v>3.47</v>
      </c>
      <c r="F16" s="15" t="n">
        <f aca="false">IF(OR(C16="",E16=""),"",E16/C16)</f>
        <v>0.00347</v>
      </c>
      <c r="G16" s="12" t="n">
        <f aca="false">IF(F16="","",IF(OR(D16="g",D16="ml"),F16*100,""))</f>
        <v>0.347</v>
      </c>
    </row>
    <row r="17" customFormat="false" ht="15" hidden="false" customHeight="false" outlineLevel="0" collapsed="false">
      <c r="A17" s="9" t="s">
        <v>47</v>
      </c>
      <c r="B17" s="9" t="s">
        <v>62</v>
      </c>
      <c r="C17" s="11" t="n">
        <v>500</v>
      </c>
      <c r="D17" s="11" t="s">
        <v>49</v>
      </c>
      <c r="E17" s="10" t="n">
        <v>7</v>
      </c>
      <c r="F17" s="15" t="n">
        <f aca="false">IF(OR(C17="",E17=""),"",E17/C17)</f>
        <v>0.014</v>
      </c>
      <c r="G17" s="12" t="n">
        <f aca="false">IF(F17="","",IF(OR(D17="g",D17="ml"),F17*100,""))</f>
        <v>1.4</v>
      </c>
    </row>
    <row r="18" customFormat="false" ht="15" hidden="false" customHeight="false" outlineLevel="0" collapsed="false">
      <c r="A18" s="9" t="s">
        <v>47</v>
      </c>
      <c r="B18" s="9" t="s">
        <v>63</v>
      </c>
      <c r="C18" s="11" t="n">
        <v>1000</v>
      </c>
      <c r="D18" s="11" t="s">
        <v>49</v>
      </c>
      <c r="E18" s="10" t="n">
        <v>4.35</v>
      </c>
      <c r="F18" s="15" t="n">
        <f aca="false">IF(OR(C18="",E18=""),"",E18/C18)</f>
        <v>0.00435</v>
      </c>
      <c r="G18" s="12" t="n">
        <f aca="false">IF(F18="","",IF(OR(D18="g",D18="ml"),F18*100,""))</f>
        <v>0.435</v>
      </c>
    </row>
    <row r="19" customFormat="false" ht="15" hidden="false" customHeight="false" outlineLevel="0" collapsed="false">
      <c r="A19" s="9" t="s">
        <v>47</v>
      </c>
      <c r="B19" s="9" t="s">
        <v>64</v>
      </c>
      <c r="C19" s="11" t="n">
        <v>500</v>
      </c>
      <c r="D19" s="11" t="s">
        <v>49</v>
      </c>
      <c r="E19" s="10" t="n">
        <v>8</v>
      </c>
      <c r="F19" s="15" t="n">
        <f aca="false">IF(OR(C19="",E19=""),"",E19/C19)</f>
        <v>0.016</v>
      </c>
      <c r="G19" s="12" t="n">
        <f aca="false">IF(F19="","",IF(OR(D19="g",D19="ml"),F19*100,""))</f>
        <v>1.6</v>
      </c>
    </row>
    <row r="20" customFormat="false" ht="15" hidden="false" customHeight="false" outlineLevel="0" collapsed="false">
      <c r="A20" s="9" t="s">
        <v>47</v>
      </c>
      <c r="B20" s="9" t="s">
        <v>65</v>
      </c>
      <c r="C20" s="11" t="n">
        <v>100</v>
      </c>
      <c r="D20" s="11" t="s">
        <v>49</v>
      </c>
      <c r="E20" s="10" t="n">
        <v>5</v>
      </c>
      <c r="F20" s="15" t="n">
        <f aca="false">IF(OR(C20="",E20=""),"",E20/C20)</f>
        <v>0.05</v>
      </c>
      <c r="G20" s="12" t="n">
        <f aca="false">IF(F20="","",IF(OR(D20="g",D20="ml"),F20*100,""))</f>
        <v>5</v>
      </c>
    </row>
    <row r="21" customFormat="false" ht="15" hidden="false" customHeight="false" outlineLevel="0" collapsed="false">
      <c r="A21" s="9" t="s">
        <v>47</v>
      </c>
      <c r="B21" s="9" t="s">
        <v>66</v>
      </c>
      <c r="C21" s="11" t="n">
        <v>100</v>
      </c>
      <c r="D21" s="11" t="s">
        <v>49</v>
      </c>
      <c r="E21" s="10" t="n">
        <v>4</v>
      </c>
      <c r="F21" s="15" t="n">
        <f aca="false">IF(OR(C21="",E21=""),"",E21/C21)</f>
        <v>0.04</v>
      </c>
      <c r="G21" s="12" t="n">
        <f aca="false">IF(F21="","",IF(OR(D21="g",D21="ml"),F21*100,""))</f>
        <v>4</v>
      </c>
    </row>
    <row r="22" customFormat="false" ht="15" hidden="false" customHeight="false" outlineLevel="0" collapsed="false">
      <c r="A22" s="9" t="s">
        <v>47</v>
      </c>
      <c r="B22" s="9" t="s">
        <v>67</v>
      </c>
      <c r="C22" s="11" t="n">
        <v>12</v>
      </c>
      <c r="D22" s="11" t="s">
        <v>68</v>
      </c>
      <c r="E22" s="10" t="n">
        <v>11.87</v>
      </c>
      <c r="F22" s="15" t="n">
        <f aca="false">IF(OR(C22="",E22=""),"",E22/C22)</f>
        <v>0.989166666666667</v>
      </c>
      <c r="G22" s="12" t="str">
        <f aca="false">IF(F22="","",IF(OR(D22="g",D22="ml"),F22*100,""))</f>
        <v/>
      </c>
    </row>
    <row r="23" customFormat="false" ht="15" hidden="false" customHeight="false" outlineLevel="0" collapsed="false">
      <c r="A23" s="9" t="s">
        <v>47</v>
      </c>
      <c r="B23" s="9" t="s">
        <v>69</v>
      </c>
      <c r="C23" s="11" t="n">
        <v>900</v>
      </c>
      <c r="D23" s="11" t="s">
        <v>55</v>
      </c>
      <c r="E23" s="10" t="n">
        <v>8</v>
      </c>
      <c r="F23" s="15" t="n">
        <f aca="false">IF(OR(C23="",E23=""),"",E23/C23)</f>
        <v>0.00888888888888889</v>
      </c>
      <c r="G23" s="12" t="n">
        <f aca="false">IF(F23="","",IF(OR(D23="g",D23="ml"),F23*100,""))</f>
        <v>0.888888888888889</v>
      </c>
    </row>
    <row r="24" customFormat="false" ht="15" hidden="false" customHeight="false" outlineLevel="0" collapsed="false">
      <c r="A24" s="9" t="s">
        <v>47</v>
      </c>
      <c r="B24" s="9" t="s">
        <v>70</v>
      </c>
      <c r="C24" s="11" t="n">
        <v>30</v>
      </c>
      <c r="D24" s="11" t="s">
        <v>55</v>
      </c>
      <c r="E24" s="10" t="n">
        <v>7</v>
      </c>
      <c r="F24" s="15" t="n">
        <f aca="false">IF(OR(C24="",E24=""),"",E24/C24)</f>
        <v>0.233333333333333</v>
      </c>
      <c r="G24" s="12" t="n">
        <f aca="false">IF(F24="","",IF(OR(D24="g",D24="ml"),F24*100,""))</f>
        <v>23.3333333333333</v>
      </c>
    </row>
    <row r="25" customFormat="false" ht="15" hidden="false" customHeight="false" outlineLevel="0" collapsed="false">
      <c r="A25" s="9" t="s">
        <v>71</v>
      </c>
      <c r="B25" s="9" t="s">
        <v>72</v>
      </c>
      <c r="C25" s="11" t="n">
        <v>1000</v>
      </c>
      <c r="D25" s="11" t="s">
        <v>49</v>
      </c>
      <c r="E25" s="10" t="n">
        <v>35</v>
      </c>
      <c r="F25" s="15" t="n">
        <f aca="false">IF(OR(C25="",E25=""),"",E25/C25)</f>
        <v>0.035</v>
      </c>
      <c r="G25" s="12" t="n">
        <f aca="false">IF(F25="","",IF(OR(D25="g",D25="ml"),F25*100,""))</f>
        <v>3.5</v>
      </c>
    </row>
    <row r="26" customFormat="false" ht="15" hidden="false" customHeight="false" outlineLevel="0" collapsed="false">
      <c r="A26" s="9" t="s">
        <v>71</v>
      </c>
      <c r="B26" s="9" t="s">
        <v>73</v>
      </c>
      <c r="C26" s="11" t="n">
        <v>100</v>
      </c>
      <c r="D26" s="11" t="s">
        <v>49</v>
      </c>
      <c r="E26" s="10" t="n">
        <v>3</v>
      </c>
      <c r="F26" s="15" t="n">
        <f aca="false">IF(OR(C26="",E26=""),"",E26/C26)</f>
        <v>0.03</v>
      </c>
      <c r="G26" s="12" t="n">
        <f aca="false">IF(F26="","",IF(OR(D26="g",D26="ml"),F26*100,""))</f>
        <v>3</v>
      </c>
    </row>
    <row r="27" customFormat="false" ht="15" hidden="false" customHeight="false" outlineLevel="0" collapsed="false">
      <c r="A27" s="9" t="s">
        <v>71</v>
      </c>
      <c r="B27" s="9" t="s">
        <v>74</v>
      </c>
      <c r="C27" s="11" t="n">
        <v>250</v>
      </c>
      <c r="D27" s="11" t="s">
        <v>49</v>
      </c>
      <c r="E27" s="10" t="n">
        <v>9</v>
      </c>
      <c r="F27" s="15" t="n">
        <f aca="false">IF(OR(C27="",E27=""),"",E27/C27)</f>
        <v>0.036</v>
      </c>
      <c r="G27" s="12" t="n">
        <f aca="false">IF(F27="","",IF(OR(D27="g",D27="ml"),F27*100,""))</f>
        <v>3.6</v>
      </c>
    </row>
    <row r="28" customFormat="false" ht="15" hidden="false" customHeight="false" outlineLevel="0" collapsed="false">
      <c r="A28" s="9" t="s">
        <v>71</v>
      </c>
      <c r="B28" s="9" t="s">
        <v>75</v>
      </c>
      <c r="C28" s="11" t="n">
        <v>1000</v>
      </c>
      <c r="D28" s="11" t="s">
        <v>49</v>
      </c>
      <c r="E28" s="10" t="n">
        <v>7</v>
      </c>
      <c r="F28" s="15" t="n">
        <f aca="false">IF(OR(C28="",E28=""),"",E28/C28)</f>
        <v>0.007</v>
      </c>
      <c r="G28" s="12" t="n">
        <f aca="false">IF(F28="","",IF(OR(D28="g",D28="ml"),F28*100,""))</f>
        <v>0.7</v>
      </c>
    </row>
    <row r="29" customFormat="false" ht="15" hidden="false" customHeight="false" outlineLevel="0" collapsed="false">
      <c r="A29" s="9" t="s">
        <v>71</v>
      </c>
      <c r="B29" s="9" t="s">
        <v>76</v>
      </c>
      <c r="C29" s="11" t="n">
        <v>1000</v>
      </c>
      <c r="D29" s="11" t="s">
        <v>49</v>
      </c>
      <c r="E29" s="10" t="n">
        <v>12</v>
      </c>
      <c r="F29" s="15" t="n">
        <f aca="false">IF(OR(C29="",E29=""),"",E29/C29)</f>
        <v>0.012</v>
      </c>
      <c r="G29" s="12" t="n">
        <f aca="false">IF(F29="","",IF(OR(D29="g",D29="ml"),F29*100,""))</f>
        <v>1.2</v>
      </c>
    </row>
    <row r="30" customFormat="false" ht="15" hidden="false" customHeight="false" outlineLevel="0" collapsed="false">
      <c r="A30" s="9" t="s">
        <v>71</v>
      </c>
      <c r="B30" s="9" t="s">
        <v>77</v>
      </c>
      <c r="C30" s="11" t="n">
        <v>1</v>
      </c>
      <c r="D30" s="11" t="s">
        <v>68</v>
      </c>
      <c r="E30" s="10" t="n">
        <v>7</v>
      </c>
      <c r="F30" s="15" t="n">
        <f aca="false">IF(OR(C30="",E30=""),"",E30/C30)</f>
        <v>7</v>
      </c>
      <c r="G30" s="12" t="str">
        <f aca="false">IF(F30="","",IF(OR(D30="g",D30="ml"),F30*100,""))</f>
        <v/>
      </c>
    </row>
    <row r="31" customFormat="false" ht="15" hidden="false" customHeight="false" outlineLevel="0" collapsed="false">
      <c r="A31" s="9" t="s">
        <v>71</v>
      </c>
      <c r="B31" s="9" t="s">
        <v>78</v>
      </c>
      <c r="C31" s="11" t="n">
        <v>100</v>
      </c>
      <c r="D31" s="11" t="s">
        <v>49</v>
      </c>
      <c r="E31" s="10" t="n">
        <v>6.62</v>
      </c>
      <c r="F31" s="15" t="n">
        <f aca="false">IF(OR(C31="",E31=""),"",E31/C31)</f>
        <v>0.0662</v>
      </c>
      <c r="G31" s="12" t="n">
        <f aca="false">IF(F31="","",IF(OR(D31="g",D31="ml"),F31*100,""))</f>
        <v>6.62</v>
      </c>
    </row>
    <row r="32" customFormat="false" ht="15" hidden="false" customHeight="false" outlineLevel="0" collapsed="false">
      <c r="A32" s="9" t="s">
        <v>71</v>
      </c>
      <c r="B32" s="9" t="s">
        <v>79</v>
      </c>
      <c r="C32" s="11" t="n">
        <v>1000</v>
      </c>
      <c r="D32" s="11" t="s">
        <v>49</v>
      </c>
      <c r="E32" s="10" t="n">
        <v>28</v>
      </c>
      <c r="F32" s="15" t="n">
        <f aca="false">IF(OR(C32="",E32=""),"",E32/C32)</f>
        <v>0.028</v>
      </c>
      <c r="G32" s="12" t="n">
        <f aca="false">IF(F32="","",IF(OR(D32="g",D32="ml"),F32*100,""))</f>
        <v>2.8</v>
      </c>
    </row>
    <row r="33" customFormat="false" ht="15" hidden="false" customHeight="false" outlineLevel="0" collapsed="false">
      <c r="A33" s="9" t="s">
        <v>71</v>
      </c>
      <c r="B33" s="9" t="s">
        <v>80</v>
      </c>
      <c r="C33" s="11" t="n">
        <v>200</v>
      </c>
      <c r="D33" s="11" t="s">
        <v>49</v>
      </c>
      <c r="E33" s="10" t="n">
        <v>14</v>
      </c>
      <c r="F33" s="15" t="n">
        <f aca="false">IF(OR(C33="",E33=""),"",E33/C33)</f>
        <v>0.07</v>
      </c>
      <c r="G33" s="12" t="n">
        <f aca="false">IF(F33="","",IF(OR(D33="g",D33="ml"),F33*100,""))</f>
        <v>7</v>
      </c>
    </row>
    <row r="34" customFormat="false" ht="15" hidden="false" customHeight="false" outlineLevel="0" collapsed="false">
      <c r="A34" s="9" t="s">
        <v>71</v>
      </c>
      <c r="B34" s="9" t="s">
        <v>81</v>
      </c>
      <c r="C34" s="11" t="n">
        <v>100</v>
      </c>
      <c r="D34" s="11" t="s">
        <v>49</v>
      </c>
      <c r="E34" s="10" t="n">
        <v>12</v>
      </c>
      <c r="F34" s="15" t="n">
        <f aca="false">IF(OR(C34="",E34=""),"",E34/C34)</f>
        <v>0.12</v>
      </c>
      <c r="G34" s="12" t="n">
        <f aca="false">IF(F34="","",IF(OR(D34="g",D34="ml"),F34*100,""))</f>
        <v>12</v>
      </c>
    </row>
    <row r="35" customFormat="false" ht="15" hidden="false" customHeight="false" outlineLevel="0" collapsed="false">
      <c r="A35" s="9" t="s">
        <v>82</v>
      </c>
      <c r="B35" s="9" t="s">
        <v>83</v>
      </c>
      <c r="C35" s="11" t="n">
        <v>200</v>
      </c>
      <c r="D35" s="11" t="s">
        <v>49</v>
      </c>
      <c r="E35" s="10" t="n">
        <v>14</v>
      </c>
      <c r="F35" s="15" t="n">
        <f aca="false">IF(OR(C35="",E35=""),"",E35/C35)</f>
        <v>0.07</v>
      </c>
      <c r="G35" s="12" t="n">
        <f aca="false">IF(F35="","",IF(OR(D35="g",D35="ml"),F35*100,""))</f>
        <v>7</v>
      </c>
    </row>
    <row r="36" customFormat="false" ht="15" hidden="false" customHeight="false" outlineLevel="0" collapsed="false">
      <c r="A36" s="9" t="s">
        <v>82</v>
      </c>
      <c r="B36" s="9" t="s">
        <v>84</v>
      </c>
      <c r="C36" s="11" t="n">
        <v>200</v>
      </c>
      <c r="D36" s="11" t="s">
        <v>49</v>
      </c>
      <c r="E36" s="10" t="n">
        <v>27</v>
      </c>
      <c r="F36" s="15" t="n">
        <f aca="false">IF(OR(C36="",E36=""),"",E36/C36)</f>
        <v>0.135</v>
      </c>
      <c r="G36" s="12" t="n">
        <f aca="false">IF(F36="","",IF(OR(D36="g",D36="ml"),F36*100,""))</f>
        <v>13.5</v>
      </c>
    </row>
    <row r="37" customFormat="false" ht="15" hidden="false" customHeight="false" outlineLevel="0" collapsed="false">
      <c r="A37" s="9" t="s">
        <v>82</v>
      </c>
      <c r="B37" s="9" t="s">
        <v>85</v>
      </c>
      <c r="C37" s="11" t="n">
        <v>1000</v>
      </c>
      <c r="D37" s="11" t="s">
        <v>49</v>
      </c>
      <c r="E37" s="10" t="n">
        <v>48</v>
      </c>
      <c r="F37" s="15" t="n">
        <f aca="false">IF(OR(C37="",E37=""),"",E37/C37)</f>
        <v>0.048</v>
      </c>
      <c r="G37" s="12" t="n">
        <f aca="false">IF(F37="","",IF(OR(D37="g",D37="ml"),F37*100,""))</f>
        <v>4.8</v>
      </c>
    </row>
    <row r="38" customFormat="false" ht="15" hidden="false" customHeight="false" outlineLevel="0" collapsed="false">
      <c r="A38" s="9" t="s">
        <v>82</v>
      </c>
      <c r="B38" s="9" t="s">
        <v>86</v>
      </c>
      <c r="C38" s="11" t="n">
        <v>1000</v>
      </c>
      <c r="D38" s="11" t="s">
        <v>49</v>
      </c>
      <c r="E38" s="10" t="n">
        <v>50</v>
      </c>
      <c r="F38" s="15" t="n">
        <f aca="false">IF(OR(C38="",E38=""),"",E38/C38)</f>
        <v>0.05</v>
      </c>
      <c r="G38" s="12" t="n">
        <f aca="false">IF(F38="","",IF(OR(D38="g",D38="ml"),F38*100,""))</f>
        <v>5</v>
      </c>
    </row>
    <row r="39" customFormat="false" ht="15" hidden="false" customHeight="false" outlineLevel="0" collapsed="false">
      <c r="A39" s="9" t="s">
        <v>82</v>
      </c>
      <c r="B39" s="9" t="s">
        <v>87</v>
      </c>
      <c r="C39" s="11" t="n">
        <v>1000</v>
      </c>
      <c r="D39" s="11" t="s">
        <v>49</v>
      </c>
      <c r="E39" s="10" t="n">
        <v>55</v>
      </c>
      <c r="F39" s="15" t="n">
        <f aca="false">IF(OR(C39="",E39=""),"",E39/C39)</f>
        <v>0.055</v>
      </c>
      <c r="G39" s="12" t="n">
        <f aca="false">IF(F39="","",IF(OR(D39="g",D39="ml"),F39*100,""))</f>
        <v>5.5</v>
      </c>
    </row>
    <row r="40" customFormat="false" ht="15" hidden="false" customHeight="false" outlineLevel="0" collapsed="false">
      <c r="A40" s="9" t="s">
        <v>82</v>
      </c>
      <c r="B40" s="9" t="s">
        <v>88</v>
      </c>
      <c r="C40" s="11" t="n">
        <v>1000</v>
      </c>
      <c r="D40" s="11" t="s">
        <v>49</v>
      </c>
      <c r="E40" s="10" t="n">
        <v>35</v>
      </c>
      <c r="F40" s="15" t="n">
        <f aca="false">IF(OR(C40="",E40=""),"",E40/C40)</f>
        <v>0.035</v>
      </c>
      <c r="G40" s="12" t="n">
        <f aca="false">IF(F40="","",IF(OR(D40="g",D40="ml"),F40*100,""))</f>
        <v>3.5</v>
      </c>
    </row>
    <row r="41" customFormat="false" ht="15" hidden="false" customHeight="false" outlineLevel="0" collapsed="false">
      <c r="A41" s="9" t="s">
        <v>82</v>
      </c>
      <c r="B41" s="9" t="s">
        <v>89</v>
      </c>
      <c r="C41" s="11" t="n">
        <v>120</v>
      </c>
      <c r="D41" s="11" t="s">
        <v>49</v>
      </c>
      <c r="E41" s="10" t="n">
        <v>4.99</v>
      </c>
      <c r="F41" s="15" t="n">
        <f aca="false">IF(OR(C41="",E41=""),"",E41/C41)</f>
        <v>0.0415833333333333</v>
      </c>
      <c r="G41" s="12" t="n">
        <f aca="false">IF(F41="","",IF(OR(D41="g",D41="ml"),F41*100,""))</f>
        <v>4.15833333333333</v>
      </c>
    </row>
    <row r="42" customFormat="false" ht="15" hidden="false" customHeight="false" outlineLevel="0" collapsed="false">
      <c r="A42" s="9" t="s">
        <v>82</v>
      </c>
      <c r="B42" s="9" t="s">
        <v>90</v>
      </c>
      <c r="C42" s="11" t="n">
        <v>100</v>
      </c>
      <c r="D42" s="11" t="s">
        <v>49</v>
      </c>
      <c r="E42" s="10" t="n">
        <v>8</v>
      </c>
      <c r="F42" s="15" t="n">
        <f aca="false">IF(OR(C42="",E42=""),"",E42/C42)</f>
        <v>0.08</v>
      </c>
      <c r="G42" s="12" t="n">
        <f aca="false">IF(F42="","",IF(OR(D42="g",D42="ml"),F42*100,""))</f>
        <v>8</v>
      </c>
    </row>
    <row r="43" customFormat="false" ht="15" hidden="false" customHeight="false" outlineLevel="0" collapsed="false">
      <c r="A43" s="9" t="s">
        <v>82</v>
      </c>
      <c r="B43" s="9" t="s">
        <v>91</v>
      </c>
      <c r="C43" s="11" t="n">
        <v>500</v>
      </c>
      <c r="D43" s="11" t="s">
        <v>49</v>
      </c>
      <c r="E43" s="10" t="n">
        <v>14</v>
      </c>
      <c r="F43" s="15" t="n">
        <f aca="false">IF(OR(C43="",E43=""),"",E43/C43)</f>
        <v>0.028</v>
      </c>
      <c r="G43" s="12" t="n">
        <f aca="false">IF(F43="","",IF(OR(D43="g",D43="ml"),F43*100,""))</f>
        <v>2.8</v>
      </c>
    </row>
    <row r="44" customFormat="false" ht="15" hidden="false" customHeight="false" outlineLevel="0" collapsed="false">
      <c r="A44" s="9" t="s">
        <v>82</v>
      </c>
      <c r="B44" s="9" t="s">
        <v>92</v>
      </c>
      <c r="C44" s="11" t="n">
        <v>500</v>
      </c>
      <c r="D44" s="11" t="s">
        <v>49</v>
      </c>
      <c r="E44" s="10" t="n">
        <v>22</v>
      </c>
      <c r="F44" s="15" t="n">
        <f aca="false">IF(OR(C44="",E44=""),"",E44/C44)</f>
        <v>0.044</v>
      </c>
      <c r="G44" s="12" t="n">
        <f aca="false">IF(F44="","",IF(OR(D44="g",D44="ml"),F44*100,""))</f>
        <v>4.4</v>
      </c>
    </row>
    <row r="45" customFormat="false" ht="15" hidden="false" customHeight="false" outlineLevel="0" collapsed="false">
      <c r="A45" s="9" t="s">
        <v>82</v>
      </c>
      <c r="B45" s="9" t="s">
        <v>93</v>
      </c>
      <c r="C45" s="11" t="n">
        <v>200</v>
      </c>
      <c r="D45" s="11" t="s">
        <v>49</v>
      </c>
      <c r="E45" s="10" t="n">
        <v>20</v>
      </c>
      <c r="F45" s="15" t="n">
        <f aca="false">IF(OR(C45="",E45=""),"",E45/C45)</f>
        <v>0.1</v>
      </c>
      <c r="G45" s="12" t="n">
        <f aca="false">IF(F45="","",IF(OR(D45="g",D45="ml"),F45*100,""))</f>
        <v>10</v>
      </c>
    </row>
    <row r="46" customFormat="false" ht="15" hidden="false" customHeight="false" outlineLevel="0" collapsed="false">
      <c r="A46" s="9" t="s">
        <v>82</v>
      </c>
      <c r="B46" s="9" t="s">
        <v>94</v>
      </c>
      <c r="C46" s="11" t="n">
        <v>200</v>
      </c>
      <c r="D46" s="11" t="s">
        <v>49</v>
      </c>
      <c r="E46" s="10" t="n">
        <v>24</v>
      </c>
      <c r="F46" s="15" t="n">
        <f aca="false">IF(OR(C46="",E46=""),"",E46/C46)</f>
        <v>0.12</v>
      </c>
      <c r="G46" s="12" t="n">
        <f aca="false">IF(F46="","",IF(OR(D46="g",D46="ml"),F46*100,""))</f>
        <v>12</v>
      </c>
    </row>
    <row r="47" customFormat="false" ht="15" hidden="false" customHeight="false" outlineLevel="0" collapsed="false">
      <c r="A47" s="9" t="s">
        <v>95</v>
      </c>
      <c r="B47" s="9" t="s">
        <v>96</v>
      </c>
      <c r="C47" s="11" t="n">
        <v>1000</v>
      </c>
      <c r="D47" s="11" t="s">
        <v>49</v>
      </c>
      <c r="E47" s="10" t="n">
        <v>20</v>
      </c>
      <c r="F47" s="15" t="n">
        <f aca="false">IF(OR(C47="",E47=""),"",E47/C47)</f>
        <v>0.02</v>
      </c>
      <c r="G47" s="12" t="n">
        <f aca="false">IF(F47="","",IF(OR(D47="g",D47="ml"),F47*100,""))</f>
        <v>2</v>
      </c>
    </row>
    <row r="48" customFormat="false" ht="15" hidden="false" customHeight="false" outlineLevel="0" collapsed="false">
      <c r="A48" s="9" t="s">
        <v>95</v>
      </c>
      <c r="B48" s="9" t="s">
        <v>97</v>
      </c>
      <c r="C48" s="11" t="n">
        <v>1000</v>
      </c>
      <c r="D48" s="11" t="s">
        <v>49</v>
      </c>
      <c r="E48" s="10" t="n">
        <v>35</v>
      </c>
      <c r="F48" s="15" t="n">
        <f aca="false">IF(OR(C48="",E48=""),"",E48/C48)</f>
        <v>0.035</v>
      </c>
      <c r="G48" s="12" t="n">
        <f aca="false">IF(F48="","",IF(OR(D48="g",D48="ml"),F48*100,""))</f>
        <v>3.5</v>
      </c>
    </row>
    <row r="49" customFormat="false" ht="15" hidden="false" customHeight="false" outlineLevel="0" collapsed="false">
      <c r="A49" s="9" t="s">
        <v>95</v>
      </c>
      <c r="B49" s="9" t="s">
        <v>98</v>
      </c>
      <c r="C49" s="11" t="n">
        <v>1000</v>
      </c>
      <c r="D49" s="11" t="s">
        <v>49</v>
      </c>
      <c r="E49" s="10" t="n">
        <v>7</v>
      </c>
      <c r="F49" s="15" t="n">
        <f aca="false">IF(OR(C49="",E49=""),"",E49/C49)</f>
        <v>0.007</v>
      </c>
      <c r="G49" s="12" t="n">
        <f aca="false">IF(F49="","",IF(OR(D49="g",D49="ml"),F49*100,""))</f>
        <v>0.7</v>
      </c>
    </row>
    <row r="50" customFormat="false" ht="15" hidden="false" customHeight="false" outlineLevel="0" collapsed="false">
      <c r="A50" s="9" t="s">
        <v>95</v>
      </c>
      <c r="B50" s="9" t="s">
        <v>99</v>
      </c>
      <c r="C50" s="11" t="n">
        <v>1000</v>
      </c>
      <c r="D50" s="11" t="s">
        <v>49</v>
      </c>
      <c r="E50" s="10" t="n">
        <v>25</v>
      </c>
      <c r="F50" s="15" t="n">
        <f aca="false">IF(OR(C50="",E50=""),"",E50/C50)</f>
        <v>0.025</v>
      </c>
      <c r="G50" s="12" t="n">
        <f aca="false">IF(F50="","",IF(OR(D50="g",D50="ml"),F50*100,""))</f>
        <v>2.5</v>
      </c>
    </row>
    <row r="51" customFormat="false" ht="15" hidden="false" customHeight="false" outlineLevel="0" collapsed="false">
      <c r="A51" s="9" t="s">
        <v>95</v>
      </c>
      <c r="B51" s="9" t="s">
        <v>100</v>
      </c>
      <c r="C51" s="11" t="n">
        <v>12</v>
      </c>
      <c r="D51" s="11" t="s">
        <v>68</v>
      </c>
      <c r="E51" s="10" t="n">
        <v>11.87</v>
      </c>
      <c r="F51" s="15" t="n">
        <f aca="false">IF(OR(C51="",E51=""),"",E51/C51)</f>
        <v>0.989166666666667</v>
      </c>
      <c r="G51" s="12" t="str">
        <f aca="false">IF(F51="","",IF(OR(D51="g",D51="ml"),F51*100,""))</f>
        <v/>
      </c>
    </row>
    <row r="52" customFormat="false" ht="15" hidden="false" customHeight="false" outlineLevel="0" collapsed="false">
      <c r="A52" s="9" t="s">
        <v>95</v>
      </c>
      <c r="B52" s="9" t="s">
        <v>101</v>
      </c>
      <c r="C52" s="11" t="n">
        <v>400</v>
      </c>
      <c r="D52" s="11" t="s">
        <v>49</v>
      </c>
      <c r="E52" s="10" t="n">
        <v>14</v>
      </c>
      <c r="F52" s="15" t="n">
        <f aca="false">IF(OR(C52="",E52=""),"",E52/C52)</f>
        <v>0.035</v>
      </c>
      <c r="G52" s="12" t="n">
        <f aca="false">IF(F52="","",IF(OR(D52="g",D52="ml"),F52*100,""))</f>
        <v>3.5</v>
      </c>
    </row>
    <row r="53" customFormat="false" ht="15" hidden="false" customHeight="false" outlineLevel="0" collapsed="false">
      <c r="A53" s="9" t="s">
        <v>95</v>
      </c>
      <c r="B53" s="9" t="s">
        <v>102</v>
      </c>
      <c r="C53" s="11" t="n">
        <v>200</v>
      </c>
      <c r="D53" s="11" t="s">
        <v>49</v>
      </c>
      <c r="E53" s="10" t="n">
        <v>5</v>
      </c>
      <c r="F53" s="15" t="n">
        <f aca="false">IF(OR(C53="",E53=""),"",E53/C53)</f>
        <v>0.025</v>
      </c>
      <c r="G53" s="12" t="n">
        <f aca="false">IF(F53="","",IF(OR(D53="g",D53="ml"),F53*100,""))</f>
        <v>2.5</v>
      </c>
    </row>
    <row r="54" customFormat="false" ht="15" hidden="false" customHeight="false" outlineLevel="0" collapsed="false">
      <c r="A54" s="9" t="s">
        <v>95</v>
      </c>
      <c r="B54" s="9" t="s">
        <v>103</v>
      </c>
      <c r="C54" s="11" t="n">
        <v>1000</v>
      </c>
      <c r="D54" s="11" t="s">
        <v>49</v>
      </c>
      <c r="E54" s="10" t="n">
        <v>6</v>
      </c>
      <c r="F54" s="15" t="n">
        <f aca="false">IF(OR(C54="",E54=""),"",E54/C54)</f>
        <v>0.006</v>
      </c>
      <c r="G54" s="12" t="n">
        <f aca="false">IF(F54="","",IF(OR(D54="g",D54="ml"),F54*100,""))</f>
        <v>0.6</v>
      </c>
    </row>
    <row r="55" customFormat="false" ht="15" hidden="false" customHeight="false" outlineLevel="0" collapsed="false">
      <c r="A55" s="9" t="s">
        <v>95</v>
      </c>
      <c r="B55" s="9" t="s">
        <v>104</v>
      </c>
      <c r="C55" s="11" t="n">
        <v>1000</v>
      </c>
      <c r="D55" s="11" t="s">
        <v>49</v>
      </c>
      <c r="E55" s="10" t="n">
        <v>3</v>
      </c>
      <c r="F55" s="15" t="n">
        <f aca="false">IF(OR(C55="",E55=""),"",E55/C55)</f>
        <v>0.003</v>
      </c>
      <c r="G55" s="12" t="n">
        <f aca="false">IF(F55="","",IF(OR(D55="g",D55="ml"),F55*100,""))</f>
        <v>0.3</v>
      </c>
    </row>
    <row r="56" customFormat="false" ht="15" hidden="false" customHeight="false" outlineLevel="0" collapsed="false">
      <c r="A56" s="9" t="s">
        <v>95</v>
      </c>
      <c r="B56" s="9" t="s">
        <v>105</v>
      </c>
      <c r="C56" s="11" t="n">
        <v>900</v>
      </c>
      <c r="D56" s="11" t="s">
        <v>55</v>
      </c>
      <c r="E56" s="10" t="n">
        <v>8</v>
      </c>
      <c r="F56" s="15" t="n">
        <f aca="false">IF(OR(C56="",E56=""),"",E56/C56)</f>
        <v>0.00888888888888889</v>
      </c>
      <c r="G56" s="12" t="n">
        <f aca="false">IF(F56="","",IF(OR(D56="g",D56="ml"),F56*100,""))</f>
        <v>0.888888888888889</v>
      </c>
    </row>
    <row r="57" customFormat="false" ht="15" hidden="false" customHeight="false" outlineLevel="0" collapsed="false">
      <c r="A57" s="9" t="s">
        <v>95</v>
      </c>
      <c r="B57" s="9" t="s">
        <v>106</v>
      </c>
      <c r="C57" s="11" t="n">
        <v>400</v>
      </c>
      <c r="D57" s="11" t="s">
        <v>49</v>
      </c>
      <c r="E57" s="10" t="n">
        <v>8</v>
      </c>
      <c r="F57" s="15" t="n">
        <f aca="false">IF(OR(C57="",E57=""),"",E57/C57)</f>
        <v>0.02</v>
      </c>
      <c r="G57" s="12" t="n">
        <f aca="false">IF(F57="","",IF(OR(D57="g",D57="ml"),F57*100,""))</f>
        <v>2</v>
      </c>
    </row>
    <row r="58" customFormat="false" ht="15" hidden="false" customHeight="false" outlineLevel="0" collapsed="false">
      <c r="A58" s="9" t="s">
        <v>95</v>
      </c>
      <c r="B58" s="9" t="s">
        <v>107</v>
      </c>
      <c r="C58" s="11" t="n">
        <v>500</v>
      </c>
      <c r="D58" s="11" t="s">
        <v>49</v>
      </c>
      <c r="E58" s="10" t="n">
        <v>10</v>
      </c>
      <c r="F58" s="15" t="n">
        <f aca="false">IF(OR(C58="",E58=""),"",E58/C58)</f>
        <v>0.02</v>
      </c>
      <c r="G58" s="12" t="n">
        <f aca="false">IF(F58="","",IF(OR(D58="g",D58="ml"),F58*100,""))</f>
        <v>2</v>
      </c>
    </row>
    <row r="59" customFormat="false" ht="15" hidden="false" customHeight="false" outlineLevel="0" collapsed="false">
      <c r="A59" s="9" t="s">
        <v>95</v>
      </c>
      <c r="B59" s="9" t="s">
        <v>108</v>
      </c>
      <c r="C59" s="11"/>
      <c r="D59" s="11"/>
      <c r="E59" s="10" t="n">
        <v>5</v>
      </c>
      <c r="F59" s="15" t="str">
        <f aca="false">IF(OR(C59="",E59=""),"",E59/C59)</f>
        <v/>
      </c>
      <c r="G59" s="12" t="str">
        <f aca="false">IF(F59="","",IF(OR(D59="g",D59="ml"),F59*100,""))</f>
        <v/>
      </c>
    </row>
    <row r="61" customFormat="false" ht="15" hidden="false" customHeight="false" outlineLevel="0" collapsed="false">
      <c r="A61" s="7" t="s">
        <v>22</v>
      </c>
      <c r="B61" s="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8" t="s">
        <v>112</v>
      </c>
      <c r="B4" s="8" t="s">
        <v>113</v>
      </c>
      <c r="C4" s="8" t="s">
        <v>44</v>
      </c>
      <c r="D4" s="8" t="s">
        <v>45</v>
      </c>
    </row>
    <row r="5" customFormat="false" ht="15" hidden="false" customHeight="false" outlineLevel="0" collapsed="false">
      <c r="A5" s="9" t="s">
        <v>114</v>
      </c>
      <c r="B5" s="11" t="n">
        <v>100</v>
      </c>
      <c r="C5" s="10" t="n">
        <v>15</v>
      </c>
      <c r="D5" s="15" t="n">
        <f aca="false">IF(OR(B5="",C5=""),"",C5/B5)</f>
        <v>0.15</v>
      </c>
    </row>
    <row r="6" customFormat="false" ht="15" hidden="false" customHeight="false" outlineLevel="0" collapsed="false">
      <c r="A6" s="9" t="s">
        <v>115</v>
      </c>
      <c r="B6" s="11" t="n">
        <v>1</v>
      </c>
      <c r="C6" s="10" t="n">
        <v>12</v>
      </c>
      <c r="D6" s="15" t="n">
        <f aca="false">IF(OR(B6="",C6=""),"",C6/B6)</f>
        <v>12</v>
      </c>
    </row>
    <row r="7" customFormat="false" ht="15" hidden="false" customHeight="false" outlineLevel="0" collapsed="false">
      <c r="A7" s="9" t="s">
        <v>116</v>
      </c>
      <c r="B7" s="11" t="n">
        <v>50</v>
      </c>
      <c r="C7" s="10" t="n">
        <v>25</v>
      </c>
      <c r="D7" s="15" t="n">
        <f aca="false">IF(OR(B7="",C7=""),"",C7/B7)</f>
        <v>0.5</v>
      </c>
    </row>
    <row r="8" customFormat="false" ht="15" hidden="false" customHeight="false" outlineLevel="0" collapsed="false">
      <c r="A8" s="9" t="s">
        <v>117</v>
      </c>
      <c r="B8" s="11" t="n">
        <v>50</v>
      </c>
      <c r="C8" s="10" t="n">
        <v>35</v>
      </c>
      <c r="D8" s="15" t="n">
        <f aca="false">IF(OR(B8="",C8=""),"",C8/B8)</f>
        <v>0.7</v>
      </c>
    </row>
    <row r="9" customFormat="false" ht="15" hidden="false" customHeight="false" outlineLevel="0" collapsed="false">
      <c r="A9" s="9" t="s">
        <v>118</v>
      </c>
      <c r="B9" s="11" t="n">
        <v>100</v>
      </c>
      <c r="C9" s="10" t="n">
        <v>30</v>
      </c>
      <c r="D9" s="15" t="n">
        <f aca="false">IF(OR(B9="",C9=""),"",C9/B9)</f>
        <v>0.3</v>
      </c>
    </row>
    <row r="10" customFormat="false" ht="15" hidden="false" customHeight="false" outlineLevel="0" collapsed="false">
      <c r="A10" s="9" t="s">
        <v>119</v>
      </c>
      <c r="B10" s="11" t="n">
        <v>100</v>
      </c>
      <c r="C10" s="10" t="n">
        <v>15</v>
      </c>
      <c r="D10" s="15" t="n">
        <f aca="false">IF(OR(B10="",C10=""),"",C10/B10)</f>
        <v>0.15</v>
      </c>
    </row>
    <row r="11" customFormat="false" ht="15" hidden="false" customHeight="false" outlineLevel="0" collapsed="false">
      <c r="A11" s="9" t="s">
        <v>120</v>
      </c>
      <c r="B11" s="11" t="n">
        <v>100</v>
      </c>
      <c r="C11" s="10" t="n">
        <v>12</v>
      </c>
      <c r="D11" s="15" t="n">
        <f aca="false">IF(OR(B11="",C11=""),"",C11/B11)</f>
        <v>0.12</v>
      </c>
    </row>
    <row r="12" customFormat="false" ht="15" hidden="false" customHeight="false" outlineLevel="0" collapsed="false">
      <c r="A12" s="9" t="s">
        <v>121</v>
      </c>
      <c r="B12" s="11" t="n">
        <v>100</v>
      </c>
      <c r="C12" s="10" t="n">
        <v>30</v>
      </c>
      <c r="D12" s="15" t="n">
        <f aca="false">IF(OR(B12="",C12=""),"",C12/B12)</f>
        <v>0.3</v>
      </c>
    </row>
    <row r="13" customFormat="false" ht="15" hidden="false" customHeight="false" outlineLevel="0" collapsed="false">
      <c r="A13" s="9" t="s">
        <v>122</v>
      </c>
      <c r="B13" s="11" t="n">
        <v>1</v>
      </c>
      <c r="C13" s="10" t="n">
        <v>8</v>
      </c>
      <c r="D13" s="15" t="n">
        <f aca="false">IF(OR(B13="",C13=""),"",C13/B13)</f>
        <v>8</v>
      </c>
    </row>
    <row r="14" customFormat="false" ht="15" hidden="false" customHeight="false" outlineLevel="0" collapsed="false">
      <c r="A14" s="9" t="s">
        <v>123</v>
      </c>
      <c r="B14" s="11" t="n">
        <v>1</v>
      </c>
      <c r="C14" s="10" t="n">
        <v>6</v>
      </c>
      <c r="D14" s="15" t="n">
        <f aca="false">IF(OR(B14="",C14=""),"",C14/B14)</f>
        <v>6</v>
      </c>
    </row>
    <row r="15" customFormat="false" ht="15" hidden="false" customHeight="false" outlineLevel="0" collapsed="false">
      <c r="A15" s="9" t="s">
        <v>124</v>
      </c>
      <c r="B15" s="11" t="n">
        <v>1</v>
      </c>
      <c r="C15" s="10" t="n">
        <v>0.5</v>
      </c>
      <c r="D15" s="15" t="n">
        <f aca="false">IF(OR(B15="",C15=""),"",C15/B15)</f>
        <v>0.5</v>
      </c>
    </row>
    <row r="16" customFormat="false" ht="15" hidden="false" customHeight="false" outlineLevel="0" collapsed="false">
      <c r="A16" s="9" t="s">
        <v>125</v>
      </c>
      <c r="B16" s="11" t="n">
        <v>1</v>
      </c>
      <c r="C16" s="10" t="n">
        <v>0.3</v>
      </c>
      <c r="D16" s="15" t="n">
        <f aca="false">IF(OR(B16="",C16=""),"",C16/B16)</f>
        <v>0.3</v>
      </c>
    </row>
    <row r="17" customFormat="false" ht="15" hidden="false" customHeight="false" outlineLevel="0" collapsed="false">
      <c r="A17" s="9" t="s">
        <v>126</v>
      </c>
      <c r="B17" s="11"/>
      <c r="C17" s="10" t="n">
        <v>12</v>
      </c>
      <c r="D17" s="15" t="str">
        <f aca="false">IF(OR(B17="",C17=""),"",C17/B17)</f>
        <v/>
      </c>
    </row>
    <row r="18" customFormat="false" ht="15" hidden="false" customHeight="false" outlineLevel="0" collapsed="false">
      <c r="A18" s="9" t="s">
        <v>127</v>
      </c>
      <c r="B18" s="11"/>
      <c r="C18" s="10" t="n">
        <v>12</v>
      </c>
      <c r="D18" s="15" t="str">
        <f aca="false">IF(OR(B18="",C18=""),"",C18/B18)</f>
        <v/>
      </c>
    </row>
    <row r="19" customFormat="false" ht="15" hidden="false" customHeight="false" outlineLevel="0" collapsed="false">
      <c r="A19" s="9" t="s">
        <v>128</v>
      </c>
      <c r="B19" s="11"/>
      <c r="C19" s="10" t="n">
        <v>12</v>
      </c>
      <c r="D19" s="15" t="str">
        <f aca="false">IF(OR(B19="",C19=""),"",C19/B19)</f>
        <v/>
      </c>
    </row>
    <row r="21" customFormat="false" ht="15" hidden="false" customHeight="false" outlineLevel="0" collapsed="false">
      <c r="A21" s="7" t="s">
        <v>22</v>
      </c>
      <c r="B21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3" customFormat="false" ht="15" hidden="false" customHeight="false" outlineLevel="0" collapsed="false">
      <c r="A3" s="2" t="s">
        <v>132</v>
      </c>
    </row>
    <row r="4" customFormat="false" ht="15" hidden="false" customHeight="false" outlineLevel="0" collapsed="false">
      <c r="A4" s="8" t="s">
        <v>133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138</v>
      </c>
    </row>
    <row r="5" customFormat="false" ht="15" hidden="false" customHeight="false" outlineLevel="0" collapsed="false">
      <c r="A5" s="11" t="s">
        <v>139</v>
      </c>
      <c r="B5" s="11" t="s">
        <v>48</v>
      </c>
      <c r="C5" s="11" t="n">
        <v>395</v>
      </c>
      <c r="D5" s="16" t="n">
        <f aca="false">IF(B5="","",IFERROR(INDEX(Insumos!$F$5:$F$59,MATCH(B5,Insumos!$B$5:$B$59,0)),INDEX(Embalagens!$D$5:$D$19,MATCH(B5,Embalagens!$A$5:$A$19,0))))</f>
        <v>0.0197215189873418</v>
      </c>
      <c r="E5" s="12" t="n">
        <f aca="false">IF(OR(C5="",D5=""),"",C5*D5)</f>
        <v>7.79</v>
      </c>
      <c r="F5" s="12" t="n">
        <f aca="false">IF(A5="","",SUMIF($A$5:$A$104,A5,$E$5:$E$104))</f>
        <v>18.5825</v>
      </c>
    </row>
    <row r="6" customFormat="false" ht="15" hidden="false" customHeight="false" outlineLevel="0" collapsed="false">
      <c r="A6" s="11" t="s">
        <v>139</v>
      </c>
      <c r="B6" s="11" t="s">
        <v>58</v>
      </c>
      <c r="C6" s="11" t="n">
        <v>15</v>
      </c>
      <c r="D6" s="16" t="n">
        <f aca="false">IF(B6="","",IFERROR(INDEX(Insumos!$F$5:$F$59,MATCH(B6,Insumos!$B$5:$B$59,0)),INDEX(Embalagens!$D$5:$D$19,MATCH(B6,Embalagens!$A$5:$A$19,0))))</f>
        <v>0.0695</v>
      </c>
      <c r="E6" s="12" t="n">
        <f aca="false">IF(OR(C6="",D6=""),"",C6*D6)</f>
        <v>1.0425</v>
      </c>
      <c r="F6" s="12" t="n">
        <f aca="false">IF(A6="","",SUMIF($A$5:$A$104,A6,$E$5:$E$104))</f>
        <v>18.5825</v>
      </c>
    </row>
    <row r="7" customFormat="false" ht="15" hidden="false" customHeight="false" outlineLevel="0" collapsed="false">
      <c r="A7" s="11" t="s">
        <v>139</v>
      </c>
      <c r="B7" s="11" t="s">
        <v>85</v>
      </c>
      <c r="C7" s="11" t="n">
        <v>200</v>
      </c>
      <c r="D7" s="16" t="n">
        <f aca="false">IF(B7="","",IFERROR(INDEX(Insumos!$F$5:$F$59,MATCH(B7,Insumos!$B$5:$B$59,0)),INDEX(Embalagens!$D$5:$D$19,MATCH(B7,Embalagens!$A$5:$A$19,0))))</f>
        <v>0.048</v>
      </c>
      <c r="E7" s="12" t="n">
        <f aca="false">IF(OR(C7="",D7=""),"",C7*D7)</f>
        <v>9.6</v>
      </c>
      <c r="F7" s="12" t="n">
        <f aca="false">IF(A7="","",SUMIF($A$5:$A$104,A7,$E$5:$E$104))</f>
        <v>18.5825</v>
      </c>
    </row>
    <row r="8" customFormat="false" ht="15" hidden="false" customHeight="false" outlineLevel="0" collapsed="false">
      <c r="A8" s="11" t="s">
        <v>139</v>
      </c>
      <c r="B8" s="11" t="s">
        <v>114</v>
      </c>
      <c r="C8" s="11" t="n">
        <v>1</v>
      </c>
      <c r="D8" s="16" t="n">
        <f aca="false">IF(B8="","",IFERROR(INDEX(Insumos!$F$5:$F$59,MATCH(B8,Insumos!$B$5:$B$59,0)),INDEX(Embalagens!$D$5:$D$19,MATCH(B8,Embalagens!$A$5:$A$19,0))))</f>
        <v>0.15</v>
      </c>
      <c r="E8" s="12" t="n">
        <f aca="false">IF(OR(C8="",D8=""),"",C8*D8)</f>
        <v>0.15</v>
      </c>
      <c r="F8" s="12" t="n">
        <f aca="false">IF(A8="","",SUMIF($A$5:$A$104,A8,$E$5:$E$104))</f>
        <v>18.5825</v>
      </c>
    </row>
    <row r="9" customFormat="false" ht="15" hidden="false" customHeight="false" outlineLevel="0" collapsed="false">
      <c r="A9" s="11"/>
      <c r="B9" s="11"/>
      <c r="C9" s="11"/>
      <c r="D9" s="16" t="str">
        <f aca="false">IF(B9="","",IFERROR(INDEX(Insumos!$F$5:$F$59,MATCH(B9,Insumos!$B$5:$B$59,0)),INDEX(Embalagens!$D$5:$D$19,MATCH(B9,Embalagens!$A$5:$A$19,0))))</f>
        <v/>
      </c>
      <c r="E9" s="12" t="str">
        <f aca="false">IF(OR(C9="",D9=""),"",C9*D9)</f>
        <v/>
      </c>
      <c r="F9" s="12" t="str">
        <f aca="false">IF(A9="","",SUMIF($A$5:$A$104,A9,$E$5:$E$104))</f>
        <v/>
      </c>
    </row>
    <row r="10" customFormat="false" ht="15" hidden="false" customHeight="false" outlineLevel="0" collapsed="false">
      <c r="A10" s="11"/>
      <c r="B10" s="11"/>
      <c r="C10" s="11"/>
      <c r="D10" s="16" t="str">
        <f aca="false">IF(B10="","",IFERROR(INDEX(Insumos!$F$5:$F$59,MATCH(B10,Insumos!$B$5:$B$59,0)),INDEX(Embalagens!$D$5:$D$19,MATCH(B10,Embalagens!$A$5:$A$19,0))))</f>
        <v/>
      </c>
      <c r="E10" s="12" t="str">
        <f aca="false">IF(OR(C10="",D10=""),"",C10*D10)</f>
        <v/>
      </c>
      <c r="F10" s="12" t="str">
        <f aca="false">IF(A10="","",SUMIF($A$5:$A$104,A10,$E$5:$E$104))</f>
        <v/>
      </c>
    </row>
    <row r="11" customFormat="false" ht="15" hidden="false" customHeight="false" outlineLevel="0" collapsed="false">
      <c r="A11" s="11"/>
      <c r="B11" s="11"/>
      <c r="C11" s="11"/>
      <c r="D11" s="16" t="str">
        <f aca="false">IF(B11="","",IFERROR(INDEX(Insumos!$F$5:$F$59,MATCH(B11,Insumos!$B$5:$B$59,0)),INDEX(Embalagens!$D$5:$D$19,MATCH(B11,Embalagens!$A$5:$A$19,0))))</f>
        <v/>
      </c>
      <c r="E11" s="12" t="str">
        <f aca="false">IF(OR(C11="",D11=""),"",C11*D11)</f>
        <v/>
      </c>
      <c r="F11" s="12" t="str">
        <f aca="false">IF(A11="","",SUMIF($A$5:$A$104,A11,$E$5:$E$104))</f>
        <v/>
      </c>
    </row>
    <row r="12" customFormat="false" ht="15" hidden="false" customHeight="false" outlineLevel="0" collapsed="false">
      <c r="A12" s="11"/>
      <c r="B12" s="11"/>
      <c r="C12" s="11"/>
      <c r="D12" s="16" t="str">
        <f aca="false">IF(B12="","",IFERROR(INDEX(Insumos!$F$5:$F$59,MATCH(B12,Insumos!$B$5:$B$59,0)),INDEX(Embalagens!$D$5:$D$19,MATCH(B12,Embalagens!$A$5:$A$19,0))))</f>
        <v/>
      </c>
      <c r="E12" s="12" t="str">
        <f aca="false">IF(OR(C12="",D12=""),"",C12*D12)</f>
        <v/>
      </c>
      <c r="F12" s="12" t="str">
        <f aca="false">IF(A12="","",SUMIF($A$5:$A$104,A12,$E$5:$E$104))</f>
        <v/>
      </c>
    </row>
    <row r="13" customFormat="false" ht="15" hidden="false" customHeight="false" outlineLevel="0" collapsed="false">
      <c r="A13" s="11"/>
      <c r="B13" s="11"/>
      <c r="C13" s="11"/>
      <c r="D13" s="16" t="str">
        <f aca="false">IF(B13="","",IFERROR(INDEX(Insumos!$F$5:$F$59,MATCH(B13,Insumos!$B$5:$B$59,0)),INDEX(Embalagens!$D$5:$D$19,MATCH(B13,Embalagens!$A$5:$A$19,0))))</f>
        <v/>
      </c>
      <c r="E13" s="12" t="str">
        <f aca="false">IF(OR(C13="",D13=""),"",C13*D13)</f>
        <v/>
      </c>
      <c r="F13" s="12" t="str">
        <f aca="false">IF(A13="","",SUMIF($A$5:$A$104,A13,$E$5:$E$104))</f>
        <v/>
      </c>
    </row>
    <row r="14" customFormat="false" ht="15" hidden="false" customHeight="false" outlineLevel="0" collapsed="false">
      <c r="A14" s="11"/>
      <c r="B14" s="11"/>
      <c r="C14" s="11"/>
      <c r="D14" s="16" t="str">
        <f aca="false">IF(B14="","",IFERROR(INDEX(Insumos!$F$5:$F$59,MATCH(B14,Insumos!$B$5:$B$59,0)),INDEX(Embalagens!$D$5:$D$19,MATCH(B14,Embalagens!$A$5:$A$19,0))))</f>
        <v/>
      </c>
      <c r="E14" s="12" t="str">
        <f aca="false">IF(OR(C14="",D14=""),"",C14*D14)</f>
        <v/>
      </c>
      <c r="F14" s="12" t="str">
        <f aca="false">IF(A14="","",SUMIF($A$5:$A$104,A14,$E$5:$E$104))</f>
        <v/>
      </c>
    </row>
    <row r="15" customFormat="false" ht="15" hidden="false" customHeight="false" outlineLevel="0" collapsed="false">
      <c r="A15" s="11"/>
      <c r="B15" s="11"/>
      <c r="C15" s="11"/>
      <c r="D15" s="16" t="str">
        <f aca="false">IF(B15="","",IFERROR(INDEX(Insumos!$F$5:$F$59,MATCH(B15,Insumos!$B$5:$B$59,0)),INDEX(Embalagens!$D$5:$D$19,MATCH(B15,Embalagens!$A$5:$A$19,0))))</f>
        <v/>
      </c>
      <c r="E15" s="12" t="str">
        <f aca="false">IF(OR(C15="",D15=""),"",C15*D15)</f>
        <v/>
      </c>
      <c r="F15" s="12" t="str">
        <f aca="false">IF(A15="","",SUMIF($A$5:$A$104,A15,$E$5:$E$104))</f>
        <v/>
      </c>
    </row>
    <row r="16" customFormat="false" ht="15" hidden="false" customHeight="false" outlineLevel="0" collapsed="false">
      <c r="A16" s="11"/>
      <c r="B16" s="11"/>
      <c r="C16" s="11"/>
      <c r="D16" s="16" t="str">
        <f aca="false">IF(B16="","",IFERROR(INDEX(Insumos!$F$5:$F$59,MATCH(B16,Insumos!$B$5:$B$59,0)),INDEX(Embalagens!$D$5:$D$19,MATCH(B16,Embalagens!$A$5:$A$19,0))))</f>
        <v/>
      </c>
      <c r="E16" s="12" t="str">
        <f aca="false">IF(OR(C16="",D16=""),"",C16*D16)</f>
        <v/>
      </c>
      <c r="F16" s="12" t="str">
        <f aca="false">IF(A16="","",SUMIF($A$5:$A$104,A16,$E$5:$E$104))</f>
        <v/>
      </c>
    </row>
    <row r="17" customFormat="false" ht="15" hidden="false" customHeight="false" outlineLevel="0" collapsed="false">
      <c r="A17" s="11"/>
      <c r="B17" s="11"/>
      <c r="C17" s="11"/>
      <c r="D17" s="16" t="str">
        <f aca="false">IF(B17="","",IFERROR(INDEX(Insumos!$F$5:$F$59,MATCH(B17,Insumos!$B$5:$B$59,0)),INDEX(Embalagens!$D$5:$D$19,MATCH(B17,Embalagens!$A$5:$A$19,0))))</f>
        <v/>
      </c>
      <c r="E17" s="12" t="str">
        <f aca="false">IF(OR(C17="",D17=""),"",C17*D17)</f>
        <v/>
      </c>
      <c r="F17" s="12" t="str">
        <f aca="false">IF(A17="","",SUMIF($A$5:$A$104,A17,$E$5:$E$104))</f>
        <v/>
      </c>
    </row>
    <row r="18" customFormat="false" ht="15" hidden="false" customHeight="false" outlineLevel="0" collapsed="false">
      <c r="A18" s="11"/>
      <c r="B18" s="11"/>
      <c r="C18" s="11"/>
      <c r="D18" s="16" t="str">
        <f aca="false">IF(B18="","",IFERROR(INDEX(Insumos!$F$5:$F$59,MATCH(B18,Insumos!$B$5:$B$59,0)),INDEX(Embalagens!$D$5:$D$19,MATCH(B18,Embalagens!$A$5:$A$19,0))))</f>
        <v/>
      </c>
      <c r="E18" s="12" t="str">
        <f aca="false">IF(OR(C18="",D18=""),"",C18*D18)</f>
        <v/>
      </c>
      <c r="F18" s="12" t="str">
        <f aca="false">IF(A18="","",SUMIF($A$5:$A$104,A18,$E$5:$E$104))</f>
        <v/>
      </c>
    </row>
    <row r="19" customFormat="false" ht="15" hidden="false" customHeight="false" outlineLevel="0" collapsed="false">
      <c r="A19" s="11"/>
      <c r="B19" s="11"/>
      <c r="C19" s="11"/>
      <c r="D19" s="16" t="str">
        <f aca="false">IF(B19="","",IFERROR(INDEX(Insumos!$F$5:$F$59,MATCH(B19,Insumos!$B$5:$B$59,0)),INDEX(Embalagens!$D$5:$D$19,MATCH(B19,Embalagens!$A$5:$A$19,0))))</f>
        <v/>
      </c>
      <c r="E19" s="12" t="str">
        <f aca="false">IF(OR(C19="",D19=""),"",C19*D19)</f>
        <v/>
      </c>
      <c r="F19" s="12" t="str">
        <f aca="false">IF(A19="","",SUMIF($A$5:$A$104,A19,$E$5:$E$104))</f>
        <v/>
      </c>
    </row>
    <row r="20" customFormat="false" ht="15" hidden="false" customHeight="false" outlineLevel="0" collapsed="false">
      <c r="A20" s="11"/>
      <c r="B20" s="11"/>
      <c r="C20" s="11"/>
      <c r="D20" s="16" t="str">
        <f aca="false">IF(B20="","",IFERROR(INDEX(Insumos!$F$5:$F$59,MATCH(B20,Insumos!$B$5:$B$59,0)),INDEX(Embalagens!$D$5:$D$19,MATCH(B20,Embalagens!$A$5:$A$19,0))))</f>
        <v/>
      </c>
      <c r="E20" s="12" t="str">
        <f aca="false">IF(OR(C20="",D20=""),"",C20*D20)</f>
        <v/>
      </c>
      <c r="F20" s="12" t="str">
        <f aca="false">IF(A20="","",SUMIF($A$5:$A$104,A20,$E$5:$E$104))</f>
        <v/>
      </c>
    </row>
    <row r="21" customFormat="false" ht="15" hidden="false" customHeight="false" outlineLevel="0" collapsed="false">
      <c r="A21" s="11"/>
      <c r="B21" s="11"/>
      <c r="C21" s="11"/>
      <c r="D21" s="16" t="str">
        <f aca="false">IF(B21="","",IFERROR(INDEX(Insumos!$F$5:$F$59,MATCH(B21,Insumos!$B$5:$B$59,0)),INDEX(Embalagens!$D$5:$D$19,MATCH(B21,Embalagens!$A$5:$A$19,0))))</f>
        <v/>
      </c>
      <c r="E21" s="12" t="str">
        <f aca="false">IF(OR(C21="",D21=""),"",C21*D21)</f>
        <v/>
      </c>
      <c r="F21" s="12" t="str">
        <f aca="false">IF(A21="","",SUMIF($A$5:$A$104,A21,$E$5:$E$104))</f>
        <v/>
      </c>
    </row>
    <row r="22" customFormat="false" ht="15" hidden="false" customHeight="false" outlineLevel="0" collapsed="false">
      <c r="A22" s="11"/>
      <c r="B22" s="11"/>
      <c r="C22" s="11"/>
      <c r="D22" s="16" t="str">
        <f aca="false">IF(B22="","",IFERROR(INDEX(Insumos!$F$5:$F$59,MATCH(B22,Insumos!$B$5:$B$59,0)),INDEX(Embalagens!$D$5:$D$19,MATCH(B22,Embalagens!$A$5:$A$19,0))))</f>
        <v/>
      </c>
      <c r="E22" s="12" t="str">
        <f aca="false">IF(OR(C22="",D22=""),"",C22*D22)</f>
        <v/>
      </c>
      <c r="F22" s="12" t="str">
        <f aca="false">IF(A22="","",SUMIF($A$5:$A$104,A22,$E$5:$E$104))</f>
        <v/>
      </c>
    </row>
    <row r="23" customFormat="false" ht="15" hidden="false" customHeight="false" outlineLevel="0" collapsed="false">
      <c r="A23" s="11"/>
      <c r="B23" s="11"/>
      <c r="C23" s="11"/>
      <c r="D23" s="16" t="str">
        <f aca="false">IF(B23="","",IFERROR(INDEX(Insumos!$F$5:$F$59,MATCH(B23,Insumos!$B$5:$B$59,0)),INDEX(Embalagens!$D$5:$D$19,MATCH(B23,Embalagens!$A$5:$A$19,0))))</f>
        <v/>
      </c>
      <c r="E23" s="12" t="str">
        <f aca="false">IF(OR(C23="",D23=""),"",C23*D23)</f>
        <v/>
      </c>
      <c r="F23" s="12" t="str">
        <f aca="false">IF(A23="","",SUMIF($A$5:$A$104,A23,$E$5:$E$104))</f>
        <v/>
      </c>
    </row>
    <row r="24" customFormat="false" ht="15" hidden="false" customHeight="false" outlineLevel="0" collapsed="false">
      <c r="A24" s="11"/>
      <c r="B24" s="11"/>
      <c r="C24" s="11"/>
      <c r="D24" s="16" t="str">
        <f aca="false">IF(B24="","",IFERROR(INDEX(Insumos!$F$5:$F$59,MATCH(B24,Insumos!$B$5:$B$59,0)),INDEX(Embalagens!$D$5:$D$19,MATCH(B24,Embalagens!$A$5:$A$19,0))))</f>
        <v/>
      </c>
      <c r="E24" s="12" t="str">
        <f aca="false">IF(OR(C24="",D24=""),"",C24*D24)</f>
        <v/>
      </c>
      <c r="F24" s="12" t="str">
        <f aca="false">IF(A24="","",SUMIF($A$5:$A$104,A24,$E$5:$E$104))</f>
        <v/>
      </c>
    </row>
    <row r="25" customFormat="false" ht="15" hidden="false" customHeight="false" outlineLevel="0" collapsed="false">
      <c r="A25" s="11"/>
      <c r="B25" s="11"/>
      <c r="C25" s="11"/>
      <c r="D25" s="16" t="str">
        <f aca="false">IF(B25="","",IFERROR(INDEX(Insumos!$F$5:$F$59,MATCH(B25,Insumos!$B$5:$B$59,0)),INDEX(Embalagens!$D$5:$D$19,MATCH(B25,Embalagens!$A$5:$A$19,0))))</f>
        <v/>
      </c>
      <c r="E25" s="12" t="str">
        <f aca="false">IF(OR(C25="",D25=""),"",C25*D25)</f>
        <v/>
      </c>
      <c r="F25" s="12" t="str">
        <f aca="false">IF(A25="","",SUMIF($A$5:$A$104,A25,$E$5:$E$104))</f>
        <v/>
      </c>
    </row>
    <row r="26" customFormat="false" ht="15" hidden="false" customHeight="false" outlineLevel="0" collapsed="false">
      <c r="A26" s="11"/>
      <c r="B26" s="11"/>
      <c r="C26" s="11"/>
      <c r="D26" s="16" t="str">
        <f aca="false">IF(B26="","",IFERROR(INDEX(Insumos!$F$5:$F$59,MATCH(B26,Insumos!$B$5:$B$59,0)),INDEX(Embalagens!$D$5:$D$19,MATCH(B26,Embalagens!$A$5:$A$19,0))))</f>
        <v/>
      </c>
      <c r="E26" s="12" t="str">
        <f aca="false">IF(OR(C26="",D26=""),"",C26*D26)</f>
        <v/>
      </c>
      <c r="F26" s="12" t="str">
        <f aca="false">IF(A26="","",SUMIF($A$5:$A$104,A26,$E$5:$E$104))</f>
        <v/>
      </c>
    </row>
    <row r="27" customFormat="false" ht="15" hidden="false" customHeight="false" outlineLevel="0" collapsed="false">
      <c r="A27" s="11"/>
      <c r="B27" s="11"/>
      <c r="C27" s="11"/>
      <c r="D27" s="16" t="str">
        <f aca="false">IF(B27="","",IFERROR(INDEX(Insumos!$F$5:$F$59,MATCH(B27,Insumos!$B$5:$B$59,0)),INDEX(Embalagens!$D$5:$D$19,MATCH(B27,Embalagens!$A$5:$A$19,0))))</f>
        <v/>
      </c>
      <c r="E27" s="12" t="str">
        <f aca="false">IF(OR(C27="",D27=""),"",C27*D27)</f>
        <v/>
      </c>
      <c r="F27" s="12" t="str">
        <f aca="false">IF(A27="","",SUMIF($A$5:$A$104,A27,$E$5:$E$104))</f>
        <v/>
      </c>
    </row>
    <row r="28" customFormat="false" ht="15" hidden="false" customHeight="false" outlineLevel="0" collapsed="false">
      <c r="A28" s="11"/>
      <c r="B28" s="11"/>
      <c r="C28" s="11"/>
      <c r="D28" s="16" t="str">
        <f aca="false">IF(B28="","",IFERROR(INDEX(Insumos!$F$5:$F$59,MATCH(B28,Insumos!$B$5:$B$59,0)),INDEX(Embalagens!$D$5:$D$19,MATCH(B28,Embalagens!$A$5:$A$19,0))))</f>
        <v/>
      </c>
      <c r="E28" s="12" t="str">
        <f aca="false">IF(OR(C28="",D28=""),"",C28*D28)</f>
        <v/>
      </c>
      <c r="F28" s="12" t="str">
        <f aca="false">IF(A28="","",SUMIF($A$5:$A$104,A28,$E$5:$E$104))</f>
        <v/>
      </c>
    </row>
    <row r="29" customFormat="false" ht="15" hidden="false" customHeight="false" outlineLevel="0" collapsed="false">
      <c r="A29" s="11"/>
      <c r="B29" s="11"/>
      <c r="C29" s="11"/>
      <c r="D29" s="16" t="str">
        <f aca="false">IF(B29="","",IFERROR(INDEX(Insumos!$F$5:$F$59,MATCH(B29,Insumos!$B$5:$B$59,0)),INDEX(Embalagens!$D$5:$D$19,MATCH(B29,Embalagens!$A$5:$A$19,0))))</f>
        <v/>
      </c>
      <c r="E29" s="12" t="str">
        <f aca="false">IF(OR(C29="",D29=""),"",C29*D29)</f>
        <v/>
      </c>
      <c r="F29" s="12" t="str">
        <f aca="false">IF(A29="","",SUMIF($A$5:$A$104,A29,$E$5:$E$104))</f>
        <v/>
      </c>
    </row>
    <row r="30" customFormat="false" ht="15" hidden="false" customHeight="false" outlineLevel="0" collapsed="false">
      <c r="A30" s="11"/>
      <c r="B30" s="11"/>
      <c r="C30" s="11"/>
      <c r="D30" s="16" t="str">
        <f aca="false">IF(B30="","",IFERROR(INDEX(Insumos!$F$5:$F$59,MATCH(B30,Insumos!$B$5:$B$59,0)),INDEX(Embalagens!$D$5:$D$19,MATCH(B30,Embalagens!$A$5:$A$19,0))))</f>
        <v/>
      </c>
      <c r="E30" s="12" t="str">
        <f aca="false">IF(OR(C30="",D30=""),"",C30*D30)</f>
        <v/>
      </c>
      <c r="F30" s="12" t="str">
        <f aca="false">IF(A30="","",SUMIF($A$5:$A$104,A30,$E$5:$E$104))</f>
        <v/>
      </c>
    </row>
    <row r="31" customFormat="false" ht="15" hidden="false" customHeight="false" outlineLevel="0" collapsed="false">
      <c r="A31" s="11"/>
      <c r="B31" s="11"/>
      <c r="C31" s="11"/>
      <c r="D31" s="16" t="str">
        <f aca="false">IF(B31="","",IFERROR(INDEX(Insumos!$F$5:$F$59,MATCH(B31,Insumos!$B$5:$B$59,0)),INDEX(Embalagens!$D$5:$D$19,MATCH(B31,Embalagens!$A$5:$A$19,0))))</f>
        <v/>
      </c>
      <c r="E31" s="12" t="str">
        <f aca="false">IF(OR(C31="",D31=""),"",C31*D31)</f>
        <v/>
      </c>
      <c r="F31" s="12" t="str">
        <f aca="false">IF(A31="","",SUMIF($A$5:$A$104,A31,$E$5:$E$104))</f>
        <v/>
      </c>
    </row>
    <row r="32" customFormat="false" ht="15" hidden="false" customHeight="false" outlineLevel="0" collapsed="false">
      <c r="A32" s="11"/>
      <c r="B32" s="11"/>
      <c r="C32" s="11"/>
      <c r="D32" s="16" t="str">
        <f aca="false">IF(B32="","",IFERROR(INDEX(Insumos!$F$5:$F$59,MATCH(B32,Insumos!$B$5:$B$59,0)),INDEX(Embalagens!$D$5:$D$19,MATCH(B32,Embalagens!$A$5:$A$19,0))))</f>
        <v/>
      </c>
      <c r="E32" s="12" t="str">
        <f aca="false">IF(OR(C32="",D32=""),"",C32*D32)</f>
        <v/>
      </c>
      <c r="F32" s="12" t="str">
        <f aca="false">IF(A32="","",SUMIF($A$5:$A$104,A32,$E$5:$E$104))</f>
        <v/>
      </c>
    </row>
    <row r="33" customFormat="false" ht="15" hidden="false" customHeight="false" outlineLevel="0" collapsed="false">
      <c r="A33" s="11"/>
      <c r="B33" s="11"/>
      <c r="C33" s="11"/>
      <c r="D33" s="16" t="str">
        <f aca="false">IF(B33="","",IFERROR(INDEX(Insumos!$F$5:$F$59,MATCH(B33,Insumos!$B$5:$B$59,0)),INDEX(Embalagens!$D$5:$D$19,MATCH(B33,Embalagens!$A$5:$A$19,0))))</f>
        <v/>
      </c>
      <c r="E33" s="12" t="str">
        <f aca="false">IF(OR(C33="",D33=""),"",C33*D33)</f>
        <v/>
      </c>
      <c r="F33" s="12" t="str">
        <f aca="false">IF(A33="","",SUMIF($A$5:$A$104,A33,$E$5:$E$104))</f>
        <v/>
      </c>
    </row>
    <row r="34" customFormat="false" ht="15" hidden="false" customHeight="false" outlineLevel="0" collapsed="false">
      <c r="A34" s="11"/>
      <c r="B34" s="11"/>
      <c r="C34" s="11"/>
      <c r="D34" s="16" t="str">
        <f aca="false">IF(B34="","",IFERROR(INDEX(Insumos!$F$5:$F$59,MATCH(B34,Insumos!$B$5:$B$59,0)),INDEX(Embalagens!$D$5:$D$19,MATCH(B34,Embalagens!$A$5:$A$19,0))))</f>
        <v/>
      </c>
      <c r="E34" s="12" t="str">
        <f aca="false">IF(OR(C34="",D34=""),"",C34*D34)</f>
        <v/>
      </c>
      <c r="F34" s="12" t="str">
        <f aca="false">IF(A34="","",SUMIF($A$5:$A$104,A34,$E$5:$E$104))</f>
        <v/>
      </c>
    </row>
    <row r="35" customFormat="false" ht="15" hidden="false" customHeight="false" outlineLevel="0" collapsed="false">
      <c r="A35" s="11"/>
      <c r="B35" s="11"/>
      <c r="C35" s="11"/>
      <c r="D35" s="16" t="str">
        <f aca="false">IF(B35="","",IFERROR(INDEX(Insumos!$F$5:$F$59,MATCH(B35,Insumos!$B$5:$B$59,0)),INDEX(Embalagens!$D$5:$D$19,MATCH(B35,Embalagens!$A$5:$A$19,0))))</f>
        <v/>
      </c>
      <c r="E35" s="12" t="str">
        <f aca="false">IF(OR(C35="",D35=""),"",C35*D35)</f>
        <v/>
      </c>
      <c r="F35" s="12" t="str">
        <f aca="false">IF(A35="","",SUMIF($A$5:$A$104,A35,$E$5:$E$104))</f>
        <v/>
      </c>
    </row>
    <row r="36" customFormat="false" ht="15" hidden="false" customHeight="false" outlineLevel="0" collapsed="false">
      <c r="A36" s="11"/>
      <c r="B36" s="11"/>
      <c r="C36" s="11"/>
      <c r="D36" s="16" t="str">
        <f aca="false">IF(B36="","",IFERROR(INDEX(Insumos!$F$5:$F$59,MATCH(B36,Insumos!$B$5:$B$59,0)),INDEX(Embalagens!$D$5:$D$19,MATCH(B36,Embalagens!$A$5:$A$19,0))))</f>
        <v/>
      </c>
      <c r="E36" s="12" t="str">
        <f aca="false">IF(OR(C36="",D36=""),"",C36*D36)</f>
        <v/>
      </c>
      <c r="F36" s="12" t="str">
        <f aca="false">IF(A36="","",SUMIF($A$5:$A$104,A36,$E$5:$E$104))</f>
        <v/>
      </c>
    </row>
    <row r="37" customFormat="false" ht="15" hidden="false" customHeight="false" outlineLevel="0" collapsed="false">
      <c r="A37" s="11"/>
      <c r="B37" s="11"/>
      <c r="C37" s="11"/>
      <c r="D37" s="16" t="str">
        <f aca="false">IF(B37="","",IFERROR(INDEX(Insumos!$F$5:$F$59,MATCH(B37,Insumos!$B$5:$B$59,0)),INDEX(Embalagens!$D$5:$D$19,MATCH(B37,Embalagens!$A$5:$A$19,0))))</f>
        <v/>
      </c>
      <c r="E37" s="12" t="str">
        <f aca="false">IF(OR(C37="",D37=""),"",C37*D37)</f>
        <v/>
      </c>
      <c r="F37" s="12" t="str">
        <f aca="false">IF(A37="","",SUMIF($A$5:$A$104,A37,$E$5:$E$104))</f>
        <v/>
      </c>
    </row>
    <row r="38" customFormat="false" ht="15" hidden="false" customHeight="false" outlineLevel="0" collapsed="false">
      <c r="A38" s="11"/>
      <c r="B38" s="11"/>
      <c r="C38" s="11"/>
      <c r="D38" s="16" t="str">
        <f aca="false">IF(B38="","",IFERROR(INDEX(Insumos!$F$5:$F$59,MATCH(B38,Insumos!$B$5:$B$59,0)),INDEX(Embalagens!$D$5:$D$19,MATCH(B38,Embalagens!$A$5:$A$19,0))))</f>
        <v/>
      </c>
      <c r="E38" s="12" t="str">
        <f aca="false">IF(OR(C38="",D38=""),"",C38*D38)</f>
        <v/>
      </c>
      <c r="F38" s="12" t="str">
        <f aca="false">IF(A38="","",SUMIF($A$5:$A$104,A38,$E$5:$E$104))</f>
        <v/>
      </c>
    </row>
    <row r="39" customFormat="false" ht="15" hidden="false" customHeight="false" outlineLevel="0" collapsed="false">
      <c r="A39" s="11"/>
      <c r="B39" s="11"/>
      <c r="C39" s="11"/>
      <c r="D39" s="16" t="str">
        <f aca="false">IF(B39="","",IFERROR(INDEX(Insumos!$F$5:$F$59,MATCH(B39,Insumos!$B$5:$B$59,0)),INDEX(Embalagens!$D$5:$D$19,MATCH(B39,Embalagens!$A$5:$A$19,0))))</f>
        <v/>
      </c>
      <c r="E39" s="12" t="str">
        <f aca="false">IF(OR(C39="",D39=""),"",C39*D39)</f>
        <v/>
      </c>
      <c r="F39" s="12" t="str">
        <f aca="false">IF(A39="","",SUMIF($A$5:$A$104,A39,$E$5:$E$104))</f>
        <v/>
      </c>
    </row>
    <row r="40" customFormat="false" ht="15" hidden="false" customHeight="false" outlineLevel="0" collapsed="false">
      <c r="A40" s="11"/>
      <c r="B40" s="11"/>
      <c r="C40" s="11"/>
      <c r="D40" s="16" t="str">
        <f aca="false">IF(B40="","",IFERROR(INDEX(Insumos!$F$5:$F$59,MATCH(B40,Insumos!$B$5:$B$59,0)),INDEX(Embalagens!$D$5:$D$19,MATCH(B40,Embalagens!$A$5:$A$19,0))))</f>
        <v/>
      </c>
      <c r="E40" s="12" t="str">
        <f aca="false">IF(OR(C40="",D40=""),"",C40*D40)</f>
        <v/>
      </c>
      <c r="F40" s="12" t="str">
        <f aca="false">IF(A40="","",SUMIF($A$5:$A$104,A40,$E$5:$E$104))</f>
        <v/>
      </c>
    </row>
    <row r="41" customFormat="false" ht="15" hidden="false" customHeight="false" outlineLevel="0" collapsed="false">
      <c r="A41" s="11"/>
      <c r="B41" s="11"/>
      <c r="C41" s="11"/>
      <c r="D41" s="16" t="str">
        <f aca="false">IF(B41="","",IFERROR(INDEX(Insumos!$F$5:$F$59,MATCH(B41,Insumos!$B$5:$B$59,0)),INDEX(Embalagens!$D$5:$D$19,MATCH(B41,Embalagens!$A$5:$A$19,0))))</f>
        <v/>
      </c>
      <c r="E41" s="12" t="str">
        <f aca="false">IF(OR(C41="",D41=""),"",C41*D41)</f>
        <v/>
      </c>
      <c r="F41" s="12" t="str">
        <f aca="false">IF(A41="","",SUMIF($A$5:$A$104,A41,$E$5:$E$104))</f>
        <v/>
      </c>
    </row>
    <row r="42" customFormat="false" ht="15" hidden="false" customHeight="false" outlineLevel="0" collapsed="false">
      <c r="A42" s="11"/>
      <c r="B42" s="11"/>
      <c r="C42" s="11"/>
      <c r="D42" s="16" t="str">
        <f aca="false">IF(B42="","",IFERROR(INDEX(Insumos!$F$5:$F$59,MATCH(B42,Insumos!$B$5:$B$59,0)),INDEX(Embalagens!$D$5:$D$19,MATCH(B42,Embalagens!$A$5:$A$19,0))))</f>
        <v/>
      </c>
      <c r="E42" s="12" t="str">
        <f aca="false">IF(OR(C42="",D42=""),"",C42*D42)</f>
        <v/>
      </c>
      <c r="F42" s="12" t="str">
        <f aca="false">IF(A42="","",SUMIF($A$5:$A$104,A42,$E$5:$E$104))</f>
        <v/>
      </c>
    </row>
    <row r="43" customFormat="false" ht="15" hidden="false" customHeight="false" outlineLevel="0" collapsed="false">
      <c r="A43" s="11"/>
      <c r="B43" s="11"/>
      <c r="C43" s="11"/>
      <c r="D43" s="16" t="str">
        <f aca="false">IF(B43="","",IFERROR(INDEX(Insumos!$F$5:$F$59,MATCH(B43,Insumos!$B$5:$B$59,0)),INDEX(Embalagens!$D$5:$D$19,MATCH(B43,Embalagens!$A$5:$A$19,0))))</f>
        <v/>
      </c>
      <c r="E43" s="12" t="str">
        <f aca="false">IF(OR(C43="",D43=""),"",C43*D43)</f>
        <v/>
      </c>
      <c r="F43" s="12" t="str">
        <f aca="false">IF(A43="","",SUMIF($A$5:$A$104,A43,$E$5:$E$104))</f>
        <v/>
      </c>
    </row>
    <row r="44" customFormat="false" ht="15" hidden="false" customHeight="false" outlineLevel="0" collapsed="false">
      <c r="A44" s="11"/>
      <c r="B44" s="11"/>
      <c r="C44" s="11"/>
      <c r="D44" s="16" t="str">
        <f aca="false">IF(B44="","",IFERROR(INDEX(Insumos!$F$5:$F$59,MATCH(B44,Insumos!$B$5:$B$59,0)),INDEX(Embalagens!$D$5:$D$19,MATCH(B44,Embalagens!$A$5:$A$19,0))))</f>
        <v/>
      </c>
      <c r="E44" s="12" t="str">
        <f aca="false">IF(OR(C44="",D44=""),"",C44*D44)</f>
        <v/>
      </c>
      <c r="F44" s="12" t="str">
        <f aca="false">IF(A44="","",SUMIF($A$5:$A$104,A44,$E$5:$E$104))</f>
        <v/>
      </c>
    </row>
    <row r="45" customFormat="false" ht="15" hidden="false" customHeight="false" outlineLevel="0" collapsed="false">
      <c r="A45" s="11"/>
      <c r="B45" s="11"/>
      <c r="C45" s="11"/>
      <c r="D45" s="16" t="str">
        <f aca="false">IF(B45="","",IFERROR(INDEX(Insumos!$F$5:$F$59,MATCH(B45,Insumos!$B$5:$B$59,0)),INDEX(Embalagens!$D$5:$D$19,MATCH(B45,Embalagens!$A$5:$A$19,0))))</f>
        <v/>
      </c>
      <c r="E45" s="12" t="str">
        <f aca="false">IF(OR(C45="",D45=""),"",C45*D45)</f>
        <v/>
      </c>
      <c r="F45" s="12" t="str">
        <f aca="false">IF(A45="","",SUMIF($A$5:$A$104,A45,$E$5:$E$104))</f>
        <v/>
      </c>
    </row>
    <row r="46" customFormat="false" ht="15" hidden="false" customHeight="false" outlineLevel="0" collapsed="false">
      <c r="A46" s="11"/>
      <c r="B46" s="11"/>
      <c r="C46" s="11"/>
      <c r="D46" s="16" t="str">
        <f aca="false">IF(B46="","",IFERROR(INDEX(Insumos!$F$5:$F$59,MATCH(B46,Insumos!$B$5:$B$59,0)),INDEX(Embalagens!$D$5:$D$19,MATCH(B46,Embalagens!$A$5:$A$19,0))))</f>
        <v/>
      </c>
      <c r="E46" s="12" t="str">
        <f aca="false">IF(OR(C46="",D46=""),"",C46*D46)</f>
        <v/>
      </c>
      <c r="F46" s="12" t="str">
        <f aca="false">IF(A46="","",SUMIF($A$5:$A$104,A46,$E$5:$E$104))</f>
        <v/>
      </c>
    </row>
    <row r="47" customFormat="false" ht="15" hidden="false" customHeight="false" outlineLevel="0" collapsed="false">
      <c r="A47" s="11"/>
      <c r="B47" s="11"/>
      <c r="C47" s="11"/>
      <c r="D47" s="16" t="str">
        <f aca="false">IF(B47="","",IFERROR(INDEX(Insumos!$F$5:$F$59,MATCH(B47,Insumos!$B$5:$B$59,0)),INDEX(Embalagens!$D$5:$D$19,MATCH(B47,Embalagens!$A$5:$A$19,0))))</f>
        <v/>
      </c>
      <c r="E47" s="12" t="str">
        <f aca="false">IF(OR(C47="",D47=""),"",C47*D47)</f>
        <v/>
      </c>
      <c r="F47" s="12" t="str">
        <f aca="false">IF(A47="","",SUMIF($A$5:$A$104,A47,$E$5:$E$104))</f>
        <v/>
      </c>
    </row>
    <row r="48" customFormat="false" ht="15" hidden="false" customHeight="false" outlineLevel="0" collapsed="false">
      <c r="A48" s="11"/>
      <c r="B48" s="11"/>
      <c r="C48" s="11"/>
      <c r="D48" s="16" t="str">
        <f aca="false">IF(B48="","",IFERROR(INDEX(Insumos!$F$5:$F$59,MATCH(B48,Insumos!$B$5:$B$59,0)),INDEX(Embalagens!$D$5:$D$19,MATCH(B48,Embalagens!$A$5:$A$19,0))))</f>
        <v/>
      </c>
      <c r="E48" s="12" t="str">
        <f aca="false">IF(OR(C48="",D48=""),"",C48*D48)</f>
        <v/>
      </c>
      <c r="F48" s="12" t="str">
        <f aca="false">IF(A48="","",SUMIF($A$5:$A$104,A48,$E$5:$E$104))</f>
        <v/>
      </c>
    </row>
    <row r="49" customFormat="false" ht="15" hidden="false" customHeight="false" outlineLevel="0" collapsed="false">
      <c r="A49" s="11"/>
      <c r="B49" s="11"/>
      <c r="C49" s="11"/>
      <c r="D49" s="16" t="str">
        <f aca="false">IF(B49="","",IFERROR(INDEX(Insumos!$F$5:$F$59,MATCH(B49,Insumos!$B$5:$B$59,0)),INDEX(Embalagens!$D$5:$D$19,MATCH(B49,Embalagens!$A$5:$A$19,0))))</f>
        <v/>
      </c>
      <c r="E49" s="12" t="str">
        <f aca="false">IF(OR(C49="",D49=""),"",C49*D49)</f>
        <v/>
      </c>
      <c r="F49" s="12" t="str">
        <f aca="false">IF(A49="","",SUMIF($A$5:$A$104,A49,$E$5:$E$104))</f>
        <v/>
      </c>
    </row>
    <row r="50" customFormat="false" ht="15" hidden="false" customHeight="false" outlineLevel="0" collapsed="false">
      <c r="A50" s="11"/>
      <c r="B50" s="11"/>
      <c r="C50" s="11"/>
      <c r="D50" s="16" t="str">
        <f aca="false">IF(B50="","",IFERROR(INDEX(Insumos!$F$5:$F$59,MATCH(B50,Insumos!$B$5:$B$59,0)),INDEX(Embalagens!$D$5:$D$19,MATCH(B50,Embalagens!$A$5:$A$19,0))))</f>
        <v/>
      </c>
      <c r="E50" s="12" t="str">
        <f aca="false">IF(OR(C50="",D50=""),"",C50*D50)</f>
        <v/>
      </c>
      <c r="F50" s="12" t="str">
        <f aca="false">IF(A50="","",SUMIF($A$5:$A$104,A50,$E$5:$E$104))</f>
        <v/>
      </c>
    </row>
    <row r="51" customFormat="false" ht="15" hidden="false" customHeight="false" outlineLevel="0" collapsed="false">
      <c r="A51" s="11"/>
      <c r="B51" s="11"/>
      <c r="C51" s="11"/>
      <c r="D51" s="16" t="str">
        <f aca="false">IF(B51="","",IFERROR(INDEX(Insumos!$F$5:$F$59,MATCH(B51,Insumos!$B$5:$B$59,0)),INDEX(Embalagens!$D$5:$D$19,MATCH(B51,Embalagens!$A$5:$A$19,0))))</f>
        <v/>
      </c>
      <c r="E51" s="12" t="str">
        <f aca="false">IF(OR(C51="",D51=""),"",C51*D51)</f>
        <v/>
      </c>
      <c r="F51" s="12" t="str">
        <f aca="false">IF(A51="","",SUMIF($A$5:$A$104,A51,$E$5:$E$104))</f>
        <v/>
      </c>
    </row>
    <row r="52" customFormat="false" ht="15" hidden="false" customHeight="false" outlineLevel="0" collapsed="false">
      <c r="A52" s="11"/>
      <c r="B52" s="11"/>
      <c r="C52" s="11"/>
      <c r="D52" s="16" t="str">
        <f aca="false">IF(B52="","",IFERROR(INDEX(Insumos!$F$5:$F$59,MATCH(B52,Insumos!$B$5:$B$59,0)),INDEX(Embalagens!$D$5:$D$19,MATCH(B52,Embalagens!$A$5:$A$19,0))))</f>
        <v/>
      </c>
      <c r="E52" s="12" t="str">
        <f aca="false">IF(OR(C52="",D52=""),"",C52*D52)</f>
        <v/>
      </c>
      <c r="F52" s="12" t="str">
        <f aca="false">IF(A52="","",SUMIF($A$5:$A$104,A52,$E$5:$E$104))</f>
        <v/>
      </c>
    </row>
    <row r="53" customFormat="false" ht="15" hidden="false" customHeight="false" outlineLevel="0" collapsed="false">
      <c r="A53" s="11"/>
      <c r="B53" s="11"/>
      <c r="C53" s="11"/>
      <c r="D53" s="16" t="str">
        <f aca="false">IF(B53="","",IFERROR(INDEX(Insumos!$F$5:$F$59,MATCH(B53,Insumos!$B$5:$B$59,0)),INDEX(Embalagens!$D$5:$D$19,MATCH(B53,Embalagens!$A$5:$A$19,0))))</f>
        <v/>
      </c>
      <c r="E53" s="12" t="str">
        <f aca="false">IF(OR(C53="",D53=""),"",C53*D53)</f>
        <v/>
      </c>
      <c r="F53" s="12" t="str">
        <f aca="false">IF(A53="","",SUMIF($A$5:$A$104,A53,$E$5:$E$104))</f>
        <v/>
      </c>
    </row>
    <row r="54" customFormat="false" ht="15" hidden="false" customHeight="false" outlineLevel="0" collapsed="false">
      <c r="A54" s="11"/>
      <c r="B54" s="11"/>
      <c r="C54" s="11"/>
      <c r="D54" s="16" t="str">
        <f aca="false">IF(B54="","",IFERROR(INDEX(Insumos!$F$5:$F$59,MATCH(B54,Insumos!$B$5:$B$59,0)),INDEX(Embalagens!$D$5:$D$19,MATCH(B54,Embalagens!$A$5:$A$19,0))))</f>
        <v/>
      </c>
      <c r="E54" s="12" t="str">
        <f aca="false">IF(OR(C54="",D54=""),"",C54*D54)</f>
        <v/>
      </c>
      <c r="F54" s="12" t="str">
        <f aca="false">IF(A54="","",SUMIF($A$5:$A$104,A54,$E$5:$E$104))</f>
        <v/>
      </c>
    </row>
    <row r="55" customFormat="false" ht="15" hidden="false" customHeight="false" outlineLevel="0" collapsed="false">
      <c r="A55" s="11"/>
      <c r="B55" s="11"/>
      <c r="C55" s="11"/>
      <c r="D55" s="16" t="str">
        <f aca="false">IF(B55="","",IFERROR(INDEX(Insumos!$F$5:$F$59,MATCH(B55,Insumos!$B$5:$B$59,0)),INDEX(Embalagens!$D$5:$D$19,MATCH(B55,Embalagens!$A$5:$A$19,0))))</f>
        <v/>
      </c>
      <c r="E55" s="12" t="str">
        <f aca="false">IF(OR(C55="",D55=""),"",C55*D55)</f>
        <v/>
      </c>
      <c r="F55" s="12" t="str">
        <f aca="false">IF(A55="","",SUMIF($A$5:$A$104,A55,$E$5:$E$104))</f>
        <v/>
      </c>
    </row>
    <row r="56" customFormat="false" ht="15" hidden="false" customHeight="false" outlineLevel="0" collapsed="false">
      <c r="A56" s="11"/>
      <c r="B56" s="11"/>
      <c r="C56" s="11"/>
      <c r="D56" s="16" t="str">
        <f aca="false">IF(B56="","",IFERROR(INDEX(Insumos!$F$5:$F$59,MATCH(B56,Insumos!$B$5:$B$59,0)),INDEX(Embalagens!$D$5:$D$19,MATCH(B56,Embalagens!$A$5:$A$19,0))))</f>
        <v/>
      </c>
      <c r="E56" s="12" t="str">
        <f aca="false">IF(OR(C56="",D56=""),"",C56*D56)</f>
        <v/>
      </c>
      <c r="F56" s="12" t="str">
        <f aca="false">IF(A56="","",SUMIF($A$5:$A$104,A56,$E$5:$E$104))</f>
        <v/>
      </c>
    </row>
    <row r="57" customFormat="false" ht="15" hidden="false" customHeight="false" outlineLevel="0" collapsed="false">
      <c r="A57" s="11"/>
      <c r="B57" s="11"/>
      <c r="C57" s="11"/>
      <c r="D57" s="16" t="str">
        <f aca="false">IF(B57="","",IFERROR(INDEX(Insumos!$F$5:$F$59,MATCH(B57,Insumos!$B$5:$B$59,0)),INDEX(Embalagens!$D$5:$D$19,MATCH(B57,Embalagens!$A$5:$A$19,0))))</f>
        <v/>
      </c>
      <c r="E57" s="12" t="str">
        <f aca="false">IF(OR(C57="",D57=""),"",C57*D57)</f>
        <v/>
      </c>
      <c r="F57" s="12" t="str">
        <f aca="false">IF(A57="","",SUMIF($A$5:$A$104,A57,$E$5:$E$104))</f>
        <v/>
      </c>
    </row>
    <row r="58" customFormat="false" ht="15" hidden="false" customHeight="false" outlineLevel="0" collapsed="false">
      <c r="A58" s="11"/>
      <c r="B58" s="11"/>
      <c r="C58" s="11"/>
      <c r="D58" s="16" t="str">
        <f aca="false">IF(B58="","",IFERROR(INDEX(Insumos!$F$5:$F$59,MATCH(B58,Insumos!$B$5:$B$59,0)),INDEX(Embalagens!$D$5:$D$19,MATCH(B58,Embalagens!$A$5:$A$19,0))))</f>
        <v/>
      </c>
      <c r="E58" s="12" t="str">
        <f aca="false">IF(OR(C58="",D58=""),"",C58*D58)</f>
        <v/>
      </c>
      <c r="F58" s="12" t="str">
        <f aca="false">IF(A58="","",SUMIF($A$5:$A$104,A58,$E$5:$E$104))</f>
        <v/>
      </c>
    </row>
    <row r="59" customFormat="false" ht="15" hidden="false" customHeight="false" outlineLevel="0" collapsed="false">
      <c r="A59" s="11"/>
      <c r="B59" s="11"/>
      <c r="C59" s="11"/>
      <c r="D59" s="16" t="str">
        <f aca="false">IF(B59="","",IFERROR(INDEX(Insumos!$F$5:$F$59,MATCH(B59,Insumos!$B$5:$B$59,0)),INDEX(Embalagens!$D$5:$D$19,MATCH(B59,Embalagens!$A$5:$A$19,0))))</f>
        <v/>
      </c>
      <c r="E59" s="12" t="str">
        <f aca="false">IF(OR(C59="",D59=""),"",C59*D59)</f>
        <v/>
      </c>
      <c r="F59" s="12" t="str">
        <f aca="false">IF(A59="","",SUMIF($A$5:$A$104,A59,$E$5:$E$104))</f>
        <v/>
      </c>
    </row>
    <row r="60" customFormat="false" ht="15" hidden="false" customHeight="false" outlineLevel="0" collapsed="false">
      <c r="A60" s="11"/>
      <c r="B60" s="11"/>
      <c r="C60" s="11"/>
      <c r="D60" s="16" t="str">
        <f aca="false">IF(B60="","",IFERROR(INDEX(Insumos!$F$5:$F$59,MATCH(B60,Insumos!$B$5:$B$59,0)),INDEX(Embalagens!$D$5:$D$19,MATCH(B60,Embalagens!$A$5:$A$19,0))))</f>
        <v/>
      </c>
      <c r="E60" s="12" t="str">
        <f aca="false">IF(OR(C60="",D60=""),"",C60*D60)</f>
        <v/>
      </c>
      <c r="F60" s="12" t="str">
        <f aca="false">IF(A60="","",SUMIF($A$5:$A$104,A60,$E$5:$E$104))</f>
        <v/>
      </c>
    </row>
    <row r="61" customFormat="false" ht="15" hidden="false" customHeight="false" outlineLevel="0" collapsed="false">
      <c r="A61" s="11"/>
      <c r="B61" s="11"/>
      <c r="C61" s="11"/>
      <c r="D61" s="16" t="str">
        <f aca="false">IF(B61="","",IFERROR(INDEX(Insumos!$F$5:$F$59,MATCH(B61,Insumos!$B$5:$B$59,0)),INDEX(Embalagens!$D$5:$D$19,MATCH(B61,Embalagens!$A$5:$A$19,0))))</f>
        <v/>
      </c>
      <c r="E61" s="12" t="str">
        <f aca="false">IF(OR(C61="",D61=""),"",C61*D61)</f>
        <v/>
      </c>
      <c r="F61" s="12" t="str">
        <f aca="false">IF(A61="","",SUMIF($A$5:$A$104,A61,$E$5:$E$104))</f>
        <v/>
      </c>
    </row>
    <row r="62" customFormat="false" ht="15" hidden="false" customHeight="false" outlineLevel="0" collapsed="false">
      <c r="A62" s="11"/>
      <c r="B62" s="11"/>
      <c r="C62" s="11"/>
      <c r="D62" s="16" t="str">
        <f aca="false">IF(B62="","",IFERROR(INDEX(Insumos!$F$5:$F$59,MATCH(B62,Insumos!$B$5:$B$59,0)),INDEX(Embalagens!$D$5:$D$19,MATCH(B62,Embalagens!$A$5:$A$19,0))))</f>
        <v/>
      </c>
      <c r="E62" s="12" t="str">
        <f aca="false">IF(OR(C62="",D62=""),"",C62*D62)</f>
        <v/>
      </c>
      <c r="F62" s="12" t="str">
        <f aca="false">IF(A62="","",SUMIF($A$5:$A$104,A62,$E$5:$E$104))</f>
        <v/>
      </c>
    </row>
    <row r="63" customFormat="false" ht="15" hidden="false" customHeight="false" outlineLevel="0" collapsed="false">
      <c r="A63" s="11"/>
      <c r="B63" s="11"/>
      <c r="C63" s="11"/>
      <c r="D63" s="16" t="str">
        <f aca="false">IF(B63="","",IFERROR(INDEX(Insumos!$F$5:$F$59,MATCH(B63,Insumos!$B$5:$B$59,0)),INDEX(Embalagens!$D$5:$D$19,MATCH(B63,Embalagens!$A$5:$A$19,0))))</f>
        <v/>
      </c>
      <c r="E63" s="12" t="str">
        <f aca="false">IF(OR(C63="",D63=""),"",C63*D63)</f>
        <v/>
      </c>
      <c r="F63" s="12" t="str">
        <f aca="false">IF(A63="","",SUMIF($A$5:$A$104,A63,$E$5:$E$104))</f>
        <v/>
      </c>
    </row>
    <row r="64" customFormat="false" ht="15" hidden="false" customHeight="false" outlineLevel="0" collapsed="false">
      <c r="A64" s="11"/>
      <c r="B64" s="11"/>
      <c r="C64" s="11"/>
      <c r="D64" s="16" t="str">
        <f aca="false">IF(B64="","",IFERROR(INDEX(Insumos!$F$5:$F$59,MATCH(B64,Insumos!$B$5:$B$59,0)),INDEX(Embalagens!$D$5:$D$19,MATCH(B64,Embalagens!$A$5:$A$19,0))))</f>
        <v/>
      </c>
      <c r="E64" s="12" t="str">
        <f aca="false">IF(OR(C64="",D64=""),"",C64*D64)</f>
        <v/>
      </c>
      <c r="F64" s="12" t="str">
        <f aca="false">IF(A64="","",SUMIF($A$5:$A$104,A64,$E$5:$E$104))</f>
        <v/>
      </c>
    </row>
    <row r="65" customFormat="false" ht="15" hidden="false" customHeight="false" outlineLevel="0" collapsed="false">
      <c r="A65" s="11"/>
      <c r="B65" s="11"/>
      <c r="C65" s="11"/>
      <c r="D65" s="16" t="str">
        <f aca="false">IF(B65="","",IFERROR(INDEX(Insumos!$F$5:$F$59,MATCH(B65,Insumos!$B$5:$B$59,0)),INDEX(Embalagens!$D$5:$D$19,MATCH(B65,Embalagens!$A$5:$A$19,0))))</f>
        <v/>
      </c>
      <c r="E65" s="12" t="str">
        <f aca="false">IF(OR(C65="",D65=""),"",C65*D65)</f>
        <v/>
      </c>
      <c r="F65" s="12" t="str">
        <f aca="false">IF(A65="","",SUMIF($A$5:$A$104,A65,$E$5:$E$104))</f>
        <v/>
      </c>
    </row>
    <row r="66" customFormat="false" ht="15" hidden="false" customHeight="false" outlineLevel="0" collapsed="false">
      <c r="A66" s="11"/>
      <c r="B66" s="11"/>
      <c r="C66" s="11"/>
      <c r="D66" s="16" t="str">
        <f aca="false">IF(B66="","",IFERROR(INDEX(Insumos!$F$5:$F$59,MATCH(B66,Insumos!$B$5:$B$59,0)),INDEX(Embalagens!$D$5:$D$19,MATCH(B66,Embalagens!$A$5:$A$19,0))))</f>
        <v/>
      </c>
      <c r="E66" s="12" t="str">
        <f aca="false">IF(OR(C66="",D66=""),"",C66*D66)</f>
        <v/>
      </c>
      <c r="F66" s="12" t="str">
        <f aca="false">IF(A66="","",SUMIF($A$5:$A$104,A66,$E$5:$E$104))</f>
        <v/>
      </c>
    </row>
    <row r="67" customFormat="false" ht="15" hidden="false" customHeight="false" outlineLevel="0" collapsed="false">
      <c r="A67" s="11"/>
      <c r="B67" s="11"/>
      <c r="C67" s="11"/>
      <c r="D67" s="16" t="str">
        <f aca="false">IF(B67="","",IFERROR(INDEX(Insumos!$F$5:$F$59,MATCH(B67,Insumos!$B$5:$B$59,0)),INDEX(Embalagens!$D$5:$D$19,MATCH(B67,Embalagens!$A$5:$A$19,0))))</f>
        <v/>
      </c>
      <c r="E67" s="12" t="str">
        <f aca="false">IF(OR(C67="",D67=""),"",C67*D67)</f>
        <v/>
      </c>
      <c r="F67" s="12" t="str">
        <f aca="false">IF(A67="","",SUMIF($A$5:$A$104,A67,$E$5:$E$104))</f>
        <v/>
      </c>
    </row>
    <row r="68" customFormat="false" ht="15" hidden="false" customHeight="false" outlineLevel="0" collapsed="false">
      <c r="A68" s="11"/>
      <c r="B68" s="11"/>
      <c r="C68" s="11"/>
      <c r="D68" s="16" t="str">
        <f aca="false">IF(B68="","",IFERROR(INDEX(Insumos!$F$5:$F$59,MATCH(B68,Insumos!$B$5:$B$59,0)),INDEX(Embalagens!$D$5:$D$19,MATCH(B68,Embalagens!$A$5:$A$19,0))))</f>
        <v/>
      </c>
      <c r="E68" s="12" t="str">
        <f aca="false">IF(OR(C68="",D68=""),"",C68*D68)</f>
        <v/>
      </c>
      <c r="F68" s="12" t="str">
        <f aca="false">IF(A68="","",SUMIF($A$5:$A$104,A68,$E$5:$E$104))</f>
        <v/>
      </c>
    </row>
    <row r="69" customFormat="false" ht="15" hidden="false" customHeight="false" outlineLevel="0" collapsed="false">
      <c r="A69" s="11"/>
      <c r="B69" s="11"/>
      <c r="C69" s="11"/>
      <c r="D69" s="16" t="str">
        <f aca="false">IF(B69="","",IFERROR(INDEX(Insumos!$F$5:$F$59,MATCH(B69,Insumos!$B$5:$B$59,0)),INDEX(Embalagens!$D$5:$D$19,MATCH(B69,Embalagens!$A$5:$A$19,0))))</f>
        <v/>
      </c>
      <c r="E69" s="12" t="str">
        <f aca="false">IF(OR(C69="",D69=""),"",C69*D69)</f>
        <v/>
      </c>
      <c r="F69" s="12" t="str">
        <f aca="false">IF(A69="","",SUMIF($A$5:$A$104,A69,$E$5:$E$104))</f>
        <v/>
      </c>
    </row>
    <row r="70" customFormat="false" ht="15" hidden="false" customHeight="false" outlineLevel="0" collapsed="false">
      <c r="A70" s="11"/>
      <c r="B70" s="11"/>
      <c r="C70" s="11"/>
      <c r="D70" s="16" t="str">
        <f aca="false">IF(B70="","",IFERROR(INDEX(Insumos!$F$5:$F$59,MATCH(B70,Insumos!$B$5:$B$59,0)),INDEX(Embalagens!$D$5:$D$19,MATCH(B70,Embalagens!$A$5:$A$19,0))))</f>
        <v/>
      </c>
      <c r="E70" s="12" t="str">
        <f aca="false">IF(OR(C70="",D70=""),"",C70*D70)</f>
        <v/>
      </c>
      <c r="F70" s="12" t="str">
        <f aca="false">IF(A70="","",SUMIF($A$5:$A$104,A70,$E$5:$E$104))</f>
        <v/>
      </c>
    </row>
    <row r="71" customFormat="false" ht="15" hidden="false" customHeight="false" outlineLevel="0" collapsed="false">
      <c r="A71" s="11"/>
      <c r="B71" s="11"/>
      <c r="C71" s="11"/>
      <c r="D71" s="16" t="str">
        <f aca="false">IF(B71="","",IFERROR(INDEX(Insumos!$F$5:$F$59,MATCH(B71,Insumos!$B$5:$B$59,0)),INDEX(Embalagens!$D$5:$D$19,MATCH(B71,Embalagens!$A$5:$A$19,0))))</f>
        <v/>
      </c>
      <c r="E71" s="12" t="str">
        <f aca="false">IF(OR(C71="",D71=""),"",C71*D71)</f>
        <v/>
      </c>
      <c r="F71" s="12" t="str">
        <f aca="false">IF(A71="","",SUMIF($A$5:$A$104,A71,$E$5:$E$104))</f>
        <v/>
      </c>
    </row>
    <row r="72" customFormat="false" ht="15" hidden="false" customHeight="false" outlineLevel="0" collapsed="false">
      <c r="A72" s="11"/>
      <c r="B72" s="11"/>
      <c r="C72" s="11"/>
      <c r="D72" s="16" t="str">
        <f aca="false">IF(B72="","",IFERROR(INDEX(Insumos!$F$5:$F$59,MATCH(B72,Insumos!$B$5:$B$59,0)),INDEX(Embalagens!$D$5:$D$19,MATCH(B72,Embalagens!$A$5:$A$19,0))))</f>
        <v/>
      </c>
      <c r="E72" s="12" t="str">
        <f aca="false">IF(OR(C72="",D72=""),"",C72*D72)</f>
        <v/>
      </c>
      <c r="F72" s="12" t="str">
        <f aca="false">IF(A72="","",SUMIF($A$5:$A$104,A72,$E$5:$E$104))</f>
        <v/>
      </c>
    </row>
    <row r="73" customFormat="false" ht="15" hidden="false" customHeight="false" outlineLevel="0" collapsed="false">
      <c r="A73" s="11"/>
      <c r="B73" s="11"/>
      <c r="C73" s="11"/>
      <c r="D73" s="16" t="str">
        <f aca="false">IF(B73="","",IFERROR(INDEX(Insumos!$F$5:$F$59,MATCH(B73,Insumos!$B$5:$B$59,0)),INDEX(Embalagens!$D$5:$D$19,MATCH(B73,Embalagens!$A$5:$A$19,0))))</f>
        <v/>
      </c>
      <c r="E73" s="12" t="str">
        <f aca="false">IF(OR(C73="",D73=""),"",C73*D73)</f>
        <v/>
      </c>
      <c r="F73" s="12" t="str">
        <f aca="false">IF(A73="","",SUMIF($A$5:$A$104,A73,$E$5:$E$104))</f>
        <v/>
      </c>
    </row>
    <row r="74" customFormat="false" ht="15" hidden="false" customHeight="false" outlineLevel="0" collapsed="false">
      <c r="A74" s="11"/>
      <c r="B74" s="11"/>
      <c r="C74" s="11"/>
      <c r="D74" s="16" t="str">
        <f aca="false">IF(B74="","",IFERROR(INDEX(Insumos!$F$5:$F$59,MATCH(B74,Insumos!$B$5:$B$59,0)),INDEX(Embalagens!$D$5:$D$19,MATCH(B74,Embalagens!$A$5:$A$19,0))))</f>
        <v/>
      </c>
      <c r="E74" s="12" t="str">
        <f aca="false">IF(OR(C74="",D74=""),"",C74*D74)</f>
        <v/>
      </c>
      <c r="F74" s="12" t="str">
        <f aca="false">IF(A74="","",SUMIF($A$5:$A$104,A74,$E$5:$E$104))</f>
        <v/>
      </c>
    </row>
    <row r="75" customFormat="false" ht="15" hidden="false" customHeight="false" outlineLevel="0" collapsed="false">
      <c r="A75" s="11"/>
      <c r="B75" s="11"/>
      <c r="C75" s="11"/>
      <c r="D75" s="16" t="str">
        <f aca="false">IF(B75="","",IFERROR(INDEX(Insumos!$F$5:$F$59,MATCH(B75,Insumos!$B$5:$B$59,0)),INDEX(Embalagens!$D$5:$D$19,MATCH(B75,Embalagens!$A$5:$A$19,0))))</f>
        <v/>
      </c>
      <c r="E75" s="12" t="str">
        <f aca="false">IF(OR(C75="",D75=""),"",C75*D75)</f>
        <v/>
      </c>
      <c r="F75" s="12" t="str">
        <f aca="false">IF(A75="","",SUMIF($A$5:$A$104,A75,$E$5:$E$104))</f>
        <v/>
      </c>
    </row>
    <row r="76" customFormat="false" ht="15" hidden="false" customHeight="false" outlineLevel="0" collapsed="false">
      <c r="A76" s="11"/>
      <c r="B76" s="11"/>
      <c r="C76" s="11"/>
      <c r="D76" s="16" t="str">
        <f aca="false">IF(B76="","",IFERROR(INDEX(Insumos!$F$5:$F$59,MATCH(B76,Insumos!$B$5:$B$59,0)),INDEX(Embalagens!$D$5:$D$19,MATCH(B76,Embalagens!$A$5:$A$19,0))))</f>
        <v/>
      </c>
      <c r="E76" s="12" t="str">
        <f aca="false">IF(OR(C76="",D76=""),"",C76*D76)</f>
        <v/>
      </c>
      <c r="F76" s="12" t="str">
        <f aca="false">IF(A76="","",SUMIF($A$5:$A$104,A76,$E$5:$E$104))</f>
        <v/>
      </c>
    </row>
    <row r="77" customFormat="false" ht="15" hidden="false" customHeight="false" outlineLevel="0" collapsed="false">
      <c r="A77" s="11"/>
      <c r="B77" s="11"/>
      <c r="C77" s="11"/>
      <c r="D77" s="16" t="str">
        <f aca="false">IF(B77="","",IFERROR(INDEX(Insumos!$F$5:$F$59,MATCH(B77,Insumos!$B$5:$B$59,0)),INDEX(Embalagens!$D$5:$D$19,MATCH(B77,Embalagens!$A$5:$A$19,0))))</f>
        <v/>
      </c>
      <c r="E77" s="12" t="str">
        <f aca="false">IF(OR(C77="",D77=""),"",C77*D77)</f>
        <v/>
      </c>
      <c r="F77" s="12" t="str">
        <f aca="false">IF(A77="","",SUMIF($A$5:$A$104,A77,$E$5:$E$104))</f>
        <v/>
      </c>
    </row>
    <row r="78" customFormat="false" ht="15" hidden="false" customHeight="false" outlineLevel="0" collapsed="false">
      <c r="A78" s="11"/>
      <c r="B78" s="11"/>
      <c r="C78" s="11"/>
      <c r="D78" s="16" t="str">
        <f aca="false">IF(B78="","",IFERROR(INDEX(Insumos!$F$5:$F$59,MATCH(B78,Insumos!$B$5:$B$59,0)),INDEX(Embalagens!$D$5:$D$19,MATCH(B78,Embalagens!$A$5:$A$19,0))))</f>
        <v/>
      </c>
      <c r="E78" s="12" t="str">
        <f aca="false">IF(OR(C78="",D78=""),"",C78*D78)</f>
        <v/>
      </c>
      <c r="F78" s="12" t="str">
        <f aca="false">IF(A78="","",SUMIF($A$5:$A$104,A78,$E$5:$E$104))</f>
        <v/>
      </c>
    </row>
    <row r="79" customFormat="false" ht="15" hidden="false" customHeight="false" outlineLevel="0" collapsed="false">
      <c r="A79" s="11"/>
      <c r="B79" s="11"/>
      <c r="C79" s="11"/>
      <c r="D79" s="16" t="str">
        <f aca="false">IF(B79="","",IFERROR(INDEX(Insumos!$F$5:$F$59,MATCH(B79,Insumos!$B$5:$B$59,0)),INDEX(Embalagens!$D$5:$D$19,MATCH(B79,Embalagens!$A$5:$A$19,0))))</f>
        <v/>
      </c>
      <c r="E79" s="12" t="str">
        <f aca="false">IF(OR(C79="",D79=""),"",C79*D79)</f>
        <v/>
      </c>
      <c r="F79" s="12" t="str">
        <f aca="false">IF(A79="","",SUMIF($A$5:$A$104,A79,$E$5:$E$104))</f>
        <v/>
      </c>
    </row>
    <row r="80" customFormat="false" ht="15" hidden="false" customHeight="false" outlineLevel="0" collapsed="false">
      <c r="A80" s="11"/>
      <c r="B80" s="11"/>
      <c r="C80" s="11"/>
      <c r="D80" s="16" t="str">
        <f aca="false">IF(B80="","",IFERROR(INDEX(Insumos!$F$5:$F$59,MATCH(B80,Insumos!$B$5:$B$59,0)),INDEX(Embalagens!$D$5:$D$19,MATCH(B80,Embalagens!$A$5:$A$19,0))))</f>
        <v/>
      </c>
      <c r="E80" s="12" t="str">
        <f aca="false">IF(OR(C80="",D80=""),"",C80*D80)</f>
        <v/>
      </c>
      <c r="F80" s="12" t="str">
        <f aca="false">IF(A80="","",SUMIF($A$5:$A$104,A80,$E$5:$E$104))</f>
        <v/>
      </c>
    </row>
    <row r="81" customFormat="false" ht="15" hidden="false" customHeight="false" outlineLevel="0" collapsed="false">
      <c r="A81" s="11"/>
      <c r="B81" s="11"/>
      <c r="C81" s="11"/>
      <c r="D81" s="16" t="str">
        <f aca="false">IF(B81="","",IFERROR(INDEX(Insumos!$F$5:$F$59,MATCH(B81,Insumos!$B$5:$B$59,0)),INDEX(Embalagens!$D$5:$D$19,MATCH(B81,Embalagens!$A$5:$A$19,0))))</f>
        <v/>
      </c>
      <c r="E81" s="12" t="str">
        <f aca="false">IF(OR(C81="",D81=""),"",C81*D81)</f>
        <v/>
      </c>
      <c r="F81" s="12" t="str">
        <f aca="false">IF(A81="","",SUMIF($A$5:$A$104,A81,$E$5:$E$104))</f>
        <v/>
      </c>
    </row>
    <row r="82" customFormat="false" ht="15" hidden="false" customHeight="false" outlineLevel="0" collapsed="false">
      <c r="A82" s="11"/>
      <c r="B82" s="11"/>
      <c r="C82" s="11"/>
      <c r="D82" s="16" t="str">
        <f aca="false">IF(B82="","",IFERROR(INDEX(Insumos!$F$5:$F$59,MATCH(B82,Insumos!$B$5:$B$59,0)),INDEX(Embalagens!$D$5:$D$19,MATCH(B82,Embalagens!$A$5:$A$19,0))))</f>
        <v/>
      </c>
      <c r="E82" s="12" t="str">
        <f aca="false">IF(OR(C82="",D82=""),"",C82*D82)</f>
        <v/>
      </c>
      <c r="F82" s="12" t="str">
        <f aca="false">IF(A82="","",SUMIF($A$5:$A$104,A82,$E$5:$E$104))</f>
        <v/>
      </c>
    </row>
    <row r="83" customFormat="false" ht="15" hidden="false" customHeight="false" outlineLevel="0" collapsed="false">
      <c r="A83" s="11"/>
      <c r="B83" s="11"/>
      <c r="C83" s="11"/>
      <c r="D83" s="16" t="str">
        <f aca="false">IF(B83="","",IFERROR(INDEX(Insumos!$F$5:$F$59,MATCH(B83,Insumos!$B$5:$B$59,0)),INDEX(Embalagens!$D$5:$D$19,MATCH(B83,Embalagens!$A$5:$A$19,0))))</f>
        <v/>
      </c>
      <c r="E83" s="12" t="str">
        <f aca="false">IF(OR(C83="",D83=""),"",C83*D83)</f>
        <v/>
      </c>
      <c r="F83" s="12" t="str">
        <f aca="false">IF(A83="","",SUMIF($A$5:$A$104,A83,$E$5:$E$104))</f>
        <v/>
      </c>
    </row>
    <row r="84" customFormat="false" ht="15" hidden="false" customHeight="false" outlineLevel="0" collapsed="false">
      <c r="A84" s="11"/>
      <c r="B84" s="11"/>
      <c r="C84" s="11"/>
      <c r="D84" s="16" t="str">
        <f aca="false">IF(B84="","",IFERROR(INDEX(Insumos!$F$5:$F$59,MATCH(B84,Insumos!$B$5:$B$59,0)),INDEX(Embalagens!$D$5:$D$19,MATCH(B84,Embalagens!$A$5:$A$19,0))))</f>
        <v/>
      </c>
      <c r="E84" s="12" t="str">
        <f aca="false">IF(OR(C84="",D84=""),"",C84*D84)</f>
        <v/>
      </c>
      <c r="F84" s="12" t="str">
        <f aca="false">IF(A84="","",SUMIF($A$5:$A$104,A84,$E$5:$E$104))</f>
        <v/>
      </c>
    </row>
    <row r="85" customFormat="false" ht="15" hidden="false" customHeight="false" outlineLevel="0" collapsed="false">
      <c r="A85" s="11"/>
      <c r="B85" s="11"/>
      <c r="C85" s="11"/>
      <c r="D85" s="16" t="str">
        <f aca="false">IF(B85="","",IFERROR(INDEX(Insumos!$F$5:$F$59,MATCH(B85,Insumos!$B$5:$B$59,0)),INDEX(Embalagens!$D$5:$D$19,MATCH(B85,Embalagens!$A$5:$A$19,0))))</f>
        <v/>
      </c>
      <c r="E85" s="12" t="str">
        <f aca="false">IF(OR(C85="",D85=""),"",C85*D85)</f>
        <v/>
      </c>
      <c r="F85" s="12" t="str">
        <f aca="false">IF(A85="","",SUMIF($A$5:$A$104,A85,$E$5:$E$104))</f>
        <v/>
      </c>
    </row>
    <row r="86" customFormat="false" ht="15" hidden="false" customHeight="false" outlineLevel="0" collapsed="false">
      <c r="A86" s="11"/>
      <c r="B86" s="11"/>
      <c r="C86" s="11"/>
      <c r="D86" s="16" t="str">
        <f aca="false">IF(B86="","",IFERROR(INDEX(Insumos!$F$5:$F$59,MATCH(B86,Insumos!$B$5:$B$59,0)),INDEX(Embalagens!$D$5:$D$19,MATCH(B86,Embalagens!$A$5:$A$19,0))))</f>
        <v/>
      </c>
      <c r="E86" s="12" t="str">
        <f aca="false">IF(OR(C86="",D86=""),"",C86*D86)</f>
        <v/>
      </c>
      <c r="F86" s="12" t="str">
        <f aca="false">IF(A86="","",SUMIF($A$5:$A$104,A86,$E$5:$E$104))</f>
        <v/>
      </c>
    </row>
    <row r="87" customFormat="false" ht="15" hidden="false" customHeight="false" outlineLevel="0" collapsed="false">
      <c r="A87" s="11"/>
      <c r="B87" s="11"/>
      <c r="C87" s="11"/>
      <c r="D87" s="16" t="str">
        <f aca="false">IF(B87="","",IFERROR(INDEX(Insumos!$F$5:$F$59,MATCH(B87,Insumos!$B$5:$B$59,0)),INDEX(Embalagens!$D$5:$D$19,MATCH(B87,Embalagens!$A$5:$A$19,0))))</f>
        <v/>
      </c>
      <c r="E87" s="12" t="str">
        <f aca="false">IF(OR(C87="",D87=""),"",C87*D87)</f>
        <v/>
      </c>
      <c r="F87" s="12" t="str">
        <f aca="false">IF(A87="","",SUMIF($A$5:$A$104,A87,$E$5:$E$104))</f>
        <v/>
      </c>
    </row>
    <row r="88" customFormat="false" ht="15" hidden="false" customHeight="false" outlineLevel="0" collapsed="false">
      <c r="A88" s="11"/>
      <c r="B88" s="11"/>
      <c r="C88" s="11"/>
      <c r="D88" s="16" t="str">
        <f aca="false">IF(B88="","",IFERROR(INDEX(Insumos!$F$5:$F$59,MATCH(B88,Insumos!$B$5:$B$59,0)),INDEX(Embalagens!$D$5:$D$19,MATCH(B88,Embalagens!$A$5:$A$19,0))))</f>
        <v/>
      </c>
      <c r="E88" s="12" t="str">
        <f aca="false">IF(OR(C88="",D88=""),"",C88*D88)</f>
        <v/>
      </c>
      <c r="F88" s="12" t="str">
        <f aca="false">IF(A88="","",SUMIF($A$5:$A$104,A88,$E$5:$E$104))</f>
        <v/>
      </c>
    </row>
    <row r="89" customFormat="false" ht="15" hidden="false" customHeight="false" outlineLevel="0" collapsed="false">
      <c r="A89" s="11"/>
      <c r="B89" s="11"/>
      <c r="C89" s="11"/>
      <c r="D89" s="16" t="str">
        <f aca="false">IF(B89="","",IFERROR(INDEX(Insumos!$F$5:$F$59,MATCH(B89,Insumos!$B$5:$B$59,0)),INDEX(Embalagens!$D$5:$D$19,MATCH(B89,Embalagens!$A$5:$A$19,0))))</f>
        <v/>
      </c>
      <c r="E89" s="12" t="str">
        <f aca="false">IF(OR(C89="",D89=""),"",C89*D89)</f>
        <v/>
      </c>
      <c r="F89" s="12" t="str">
        <f aca="false">IF(A89="","",SUMIF($A$5:$A$104,A89,$E$5:$E$104))</f>
        <v/>
      </c>
    </row>
    <row r="90" customFormat="false" ht="15" hidden="false" customHeight="false" outlineLevel="0" collapsed="false">
      <c r="A90" s="11"/>
      <c r="B90" s="11"/>
      <c r="C90" s="11"/>
      <c r="D90" s="16" t="str">
        <f aca="false">IF(B90="","",IFERROR(INDEX(Insumos!$F$5:$F$59,MATCH(B90,Insumos!$B$5:$B$59,0)),INDEX(Embalagens!$D$5:$D$19,MATCH(B90,Embalagens!$A$5:$A$19,0))))</f>
        <v/>
      </c>
      <c r="E90" s="12" t="str">
        <f aca="false">IF(OR(C90="",D90=""),"",C90*D90)</f>
        <v/>
      </c>
      <c r="F90" s="12" t="str">
        <f aca="false">IF(A90="","",SUMIF($A$5:$A$104,A90,$E$5:$E$104))</f>
        <v/>
      </c>
    </row>
    <row r="91" customFormat="false" ht="15" hidden="false" customHeight="false" outlineLevel="0" collapsed="false">
      <c r="A91" s="11"/>
      <c r="B91" s="11"/>
      <c r="C91" s="11"/>
      <c r="D91" s="16" t="str">
        <f aca="false">IF(B91="","",IFERROR(INDEX(Insumos!$F$5:$F$59,MATCH(B91,Insumos!$B$5:$B$59,0)),INDEX(Embalagens!$D$5:$D$19,MATCH(B91,Embalagens!$A$5:$A$19,0))))</f>
        <v/>
      </c>
      <c r="E91" s="12" t="str">
        <f aca="false">IF(OR(C91="",D91=""),"",C91*D91)</f>
        <v/>
      </c>
      <c r="F91" s="12" t="str">
        <f aca="false">IF(A91="","",SUMIF($A$5:$A$104,A91,$E$5:$E$104))</f>
        <v/>
      </c>
    </row>
    <row r="92" customFormat="false" ht="15" hidden="false" customHeight="false" outlineLevel="0" collapsed="false">
      <c r="A92" s="11"/>
      <c r="B92" s="11"/>
      <c r="C92" s="11"/>
      <c r="D92" s="16" t="str">
        <f aca="false">IF(B92="","",IFERROR(INDEX(Insumos!$F$5:$F$59,MATCH(B92,Insumos!$B$5:$B$59,0)),INDEX(Embalagens!$D$5:$D$19,MATCH(B92,Embalagens!$A$5:$A$19,0))))</f>
        <v/>
      </c>
      <c r="E92" s="12" t="str">
        <f aca="false">IF(OR(C92="",D92=""),"",C92*D92)</f>
        <v/>
      </c>
      <c r="F92" s="12" t="str">
        <f aca="false">IF(A92="","",SUMIF($A$5:$A$104,A92,$E$5:$E$104))</f>
        <v/>
      </c>
    </row>
    <row r="93" customFormat="false" ht="15" hidden="false" customHeight="false" outlineLevel="0" collapsed="false">
      <c r="A93" s="11"/>
      <c r="B93" s="11"/>
      <c r="C93" s="11"/>
      <c r="D93" s="16" t="str">
        <f aca="false">IF(B93="","",IFERROR(INDEX(Insumos!$F$5:$F$59,MATCH(B93,Insumos!$B$5:$B$59,0)),INDEX(Embalagens!$D$5:$D$19,MATCH(B93,Embalagens!$A$5:$A$19,0))))</f>
        <v/>
      </c>
      <c r="E93" s="12" t="str">
        <f aca="false">IF(OR(C93="",D93=""),"",C93*D93)</f>
        <v/>
      </c>
      <c r="F93" s="12" t="str">
        <f aca="false">IF(A93="","",SUMIF($A$5:$A$104,A93,$E$5:$E$104))</f>
        <v/>
      </c>
    </row>
    <row r="94" customFormat="false" ht="15" hidden="false" customHeight="false" outlineLevel="0" collapsed="false">
      <c r="A94" s="11"/>
      <c r="B94" s="11"/>
      <c r="C94" s="11"/>
      <c r="D94" s="16" t="str">
        <f aca="false">IF(B94="","",IFERROR(INDEX(Insumos!$F$5:$F$59,MATCH(B94,Insumos!$B$5:$B$59,0)),INDEX(Embalagens!$D$5:$D$19,MATCH(B94,Embalagens!$A$5:$A$19,0))))</f>
        <v/>
      </c>
      <c r="E94" s="12" t="str">
        <f aca="false">IF(OR(C94="",D94=""),"",C94*D94)</f>
        <v/>
      </c>
      <c r="F94" s="12" t="str">
        <f aca="false">IF(A94="","",SUMIF($A$5:$A$104,A94,$E$5:$E$104))</f>
        <v/>
      </c>
    </row>
    <row r="95" customFormat="false" ht="15" hidden="false" customHeight="false" outlineLevel="0" collapsed="false">
      <c r="A95" s="11"/>
      <c r="B95" s="11"/>
      <c r="C95" s="11"/>
      <c r="D95" s="16" t="str">
        <f aca="false">IF(B95="","",IFERROR(INDEX(Insumos!$F$5:$F$59,MATCH(B95,Insumos!$B$5:$B$59,0)),INDEX(Embalagens!$D$5:$D$19,MATCH(B95,Embalagens!$A$5:$A$19,0))))</f>
        <v/>
      </c>
      <c r="E95" s="12" t="str">
        <f aca="false">IF(OR(C95="",D95=""),"",C95*D95)</f>
        <v/>
      </c>
      <c r="F95" s="12" t="str">
        <f aca="false">IF(A95="","",SUMIF($A$5:$A$104,A95,$E$5:$E$104))</f>
        <v/>
      </c>
    </row>
    <row r="96" customFormat="false" ht="15" hidden="false" customHeight="false" outlineLevel="0" collapsed="false">
      <c r="A96" s="11"/>
      <c r="B96" s="11"/>
      <c r="C96" s="11"/>
      <c r="D96" s="16" t="str">
        <f aca="false">IF(B96="","",IFERROR(INDEX(Insumos!$F$5:$F$59,MATCH(B96,Insumos!$B$5:$B$59,0)),INDEX(Embalagens!$D$5:$D$19,MATCH(B96,Embalagens!$A$5:$A$19,0))))</f>
        <v/>
      </c>
      <c r="E96" s="12" t="str">
        <f aca="false">IF(OR(C96="",D96=""),"",C96*D96)</f>
        <v/>
      </c>
      <c r="F96" s="12" t="str">
        <f aca="false">IF(A96="","",SUMIF($A$5:$A$104,A96,$E$5:$E$104))</f>
        <v/>
      </c>
    </row>
    <row r="97" customFormat="false" ht="15" hidden="false" customHeight="false" outlineLevel="0" collapsed="false">
      <c r="A97" s="11"/>
      <c r="B97" s="11"/>
      <c r="C97" s="11"/>
      <c r="D97" s="16" t="str">
        <f aca="false">IF(B97="","",IFERROR(INDEX(Insumos!$F$5:$F$59,MATCH(B97,Insumos!$B$5:$B$59,0)),INDEX(Embalagens!$D$5:$D$19,MATCH(B97,Embalagens!$A$5:$A$19,0))))</f>
        <v/>
      </c>
      <c r="E97" s="12" t="str">
        <f aca="false">IF(OR(C97="",D97=""),"",C97*D97)</f>
        <v/>
      </c>
      <c r="F97" s="12" t="str">
        <f aca="false">IF(A97="","",SUMIF($A$5:$A$104,A97,$E$5:$E$104))</f>
        <v/>
      </c>
    </row>
    <row r="98" customFormat="false" ht="15" hidden="false" customHeight="false" outlineLevel="0" collapsed="false">
      <c r="A98" s="11"/>
      <c r="B98" s="11"/>
      <c r="C98" s="11"/>
      <c r="D98" s="16" t="str">
        <f aca="false">IF(B98="","",IFERROR(INDEX(Insumos!$F$5:$F$59,MATCH(B98,Insumos!$B$5:$B$59,0)),INDEX(Embalagens!$D$5:$D$19,MATCH(B98,Embalagens!$A$5:$A$19,0))))</f>
        <v/>
      </c>
      <c r="E98" s="12" t="str">
        <f aca="false">IF(OR(C98="",D98=""),"",C98*D98)</f>
        <v/>
      </c>
      <c r="F98" s="12" t="str">
        <f aca="false">IF(A98="","",SUMIF($A$5:$A$104,A98,$E$5:$E$104))</f>
        <v/>
      </c>
    </row>
    <row r="99" customFormat="false" ht="15" hidden="false" customHeight="false" outlineLevel="0" collapsed="false">
      <c r="A99" s="11"/>
      <c r="B99" s="11"/>
      <c r="C99" s="11"/>
      <c r="D99" s="16" t="str">
        <f aca="false">IF(B99="","",IFERROR(INDEX(Insumos!$F$5:$F$59,MATCH(B99,Insumos!$B$5:$B$59,0)),INDEX(Embalagens!$D$5:$D$19,MATCH(B99,Embalagens!$A$5:$A$19,0))))</f>
        <v/>
      </c>
      <c r="E99" s="12" t="str">
        <f aca="false">IF(OR(C99="",D99=""),"",C99*D99)</f>
        <v/>
      </c>
      <c r="F99" s="12" t="str">
        <f aca="false">IF(A99="","",SUMIF($A$5:$A$104,A99,$E$5:$E$104))</f>
        <v/>
      </c>
    </row>
    <row r="100" customFormat="false" ht="15" hidden="false" customHeight="false" outlineLevel="0" collapsed="false">
      <c r="A100" s="11"/>
      <c r="B100" s="11"/>
      <c r="C100" s="11"/>
      <c r="D100" s="16" t="str">
        <f aca="false">IF(B100="","",IFERROR(INDEX(Insumos!$F$5:$F$59,MATCH(B100,Insumos!$B$5:$B$59,0)),INDEX(Embalagens!$D$5:$D$19,MATCH(B100,Embalagens!$A$5:$A$19,0))))</f>
        <v/>
      </c>
      <c r="E100" s="12" t="str">
        <f aca="false">IF(OR(C100="",D100=""),"",C100*D100)</f>
        <v/>
      </c>
      <c r="F100" s="12" t="str">
        <f aca="false">IF(A100="","",SUMIF($A$5:$A$104,A100,$E$5:$E$104))</f>
        <v/>
      </c>
    </row>
    <row r="101" customFormat="false" ht="15" hidden="false" customHeight="false" outlineLevel="0" collapsed="false">
      <c r="A101" s="11"/>
      <c r="B101" s="11"/>
      <c r="C101" s="11"/>
      <c r="D101" s="16" t="str">
        <f aca="false">IF(B101="","",IFERROR(INDEX(Insumos!$F$5:$F$59,MATCH(B101,Insumos!$B$5:$B$59,0)),INDEX(Embalagens!$D$5:$D$19,MATCH(B101,Embalagens!$A$5:$A$19,0))))</f>
        <v/>
      </c>
      <c r="E101" s="12" t="str">
        <f aca="false">IF(OR(C101="",D101=""),"",C101*D101)</f>
        <v/>
      </c>
      <c r="F101" s="12" t="str">
        <f aca="false">IF(A101="","",SUMIF($A$5:$A$104,A101,$E$5:$E$104))</f>
        <v/>
      </c>
    </row>
    <row r="102" customFormat="false" ht="15" hidden="false" customHeight="false" outlineLevel="0" collapsed="false">
      <c r="A102" s="11"/>
      <c r="B102" s="11"/>
      <c r="C102" s="11"/>
      <c r="D102" s="16" t="str">
        <f aca="false">IF(B102="","",IFERROR(INDEX(Insumos!$F$5:$F$59,MATCH(B102,Insumos!$B$5:$B$59,0)),INDEX(Embalagens!$D$5:$D$19,MATCH(B102,Embalagens!$A$5:$A$19,0))))</f>
        <v/>
      </c>
      <c r="E102" s="12" t="str">
        <f aca="false">IF(OR(C102="",D102=""),"",C102*D102)</f>
        <v/>
      </c>
      <c r="F102" s="12" t="str">
        <f aca="false">IF(A102="","",SUMIF($A$5:$A$104,A102,$E$5:$E$104))</f>
        <v/>
      </c>
    </row>
    <row r="103" customFormat="false" ht="15" hidden="false" customHeight="false" outlineLevel="0" collapsed="false">
      <c r="A103" s="11"/>
      <c r="B103" s="11"/>
      <c r="C103" s="11"/>
      <c r="D103" s="16" t="str">
        <f aca="false">IF(B103="","",IFERROR(INDEX(Insumos!$F$5:$F$59,MATCH(B103,Insumos!$B$5:$B$59,0)),INDEX(Embalagens!$D$5:$D$19,MATCH(B103,Embalagens!$A$5:$A$19,0))))</f>
        <v/>
      </c>
      <c r="E103" s="12" t="str">
        <f aca="false">IF(OR(C103="",D103=""),"",C103*D103)</f>
        <v/>
      </c>
      <c r="F103" s="12" t="str">
        <f aca="false">IF(A103="","",SUMIF($A$5:$A$104,A103,$E$5:$E$104))</f>
        <v/>
      </c>
    </row>
    <row r="104" customFormat="false" ht="15" hidden="false" customHeight="false" outlineLevel="0" collapsed="false">
      <c r="A104" s="11"/>
      <c r="B104" s="11"/>
      <c r="C104" s="11"/>
      <c r="D104" s="16" t="str">
        <f aca="false">IF(B104="","",IFERROR(INDEX(Insumos!$F$5:$F$59,MATCH(B104,Insumos!$B$5:$B$59,0)),INDEX(Embalagens!$D$5:$D$19,MATCH(B104,Embalagens!$A$5:$A$19,0))))</f>
        <v/>
      </c>
      <c r="E104" s="12" t="str">
        <f aca="false">IF(OR(C104="",D104=""),"",C104*D104)</f>
        <v/>
      </c>
      <c r="F104" s="12" t="str">
        <f aca="false">IF(A104="","",SUMIF($A$5:$A$104,A104,$E$5:$E$104))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2026-10-22T00:03:20Z</dcterms:created>
  <dc:creator>openpyxl</dc:creator>
  <dc:description/>
  <dc:language>en-US</dc:language>
  <cp:lastModifiedBy/>
  <dcterms:modified xsi:type="dcterms:W3CDTF">2026-10-22T00:03:20Z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